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regroupaus-my.sharepoint.com/personal/joshua_yates_regroup_com_au/Documents/Desktop/New folder/"/>
    </mc:Choice>
  </mc:AlternateContent>
  <xr:revisionPtr revIDLastSave="295" documentId="8_{6DE48DB2-05C2-4BDC-8E14-1CA37C5837F1}" xr6:coauthVersionLast="47" xr6:coauthVersionMax="47" xr10:uidLastSave="{EF8413BA-DE5E-47FC-B578-3D406923D0E1}"/>
  <bookViews>
    <workbookView xWindow="-15870" yWindow="-16755" windowWidth="29040" windowHeight="15720" activeTab="4" xr2:uid="{704B2B3F-931D-4DAC-98B4-F2C4C5FF8574}"/>
  </bookViews>
  <sheets>
    <sheet name="01_Data" sheetId="2" r:id="rId1"/>
    <sheet name="02_Exposure_Hours" sheetId="1" r:id="rId2"/>
    <sheet name="03_KPI_Summary" sheetId="3" r:id="rId3"/>
    <sheet name="04_Pivots" sheetId="5" r:id="rId4"/>
    <sheet name="05_Dashboard" sheetId="7" r:id="rId5"/>
  </sheets>
  <definedNames>
    <definedName name="ExternalData_1" localSheetId="0" hidden="1">'01_Data'!$A$1:$X$501</definedName>
    <definedName name="Slicer_Site">#N/A</definedName>
    <definedName name="Slicer_Year">#N/A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L4" i="7" l="1"/>
  <c r="H4" i="7"/>
  <c r="E4" i="7"/>
  <c r="B4" i="7"/>
  <c r="H11" i="3"/>
  <c r="H12" i="3"/>
  <c r="H13" i="3"/>
  <c r="H14" i="3"/>
  <c r="H10" i="3"/>
  <c r="F11" i="3"/>
  <c r="F12" i="3"/>
  <c r="F13" i="3"/>
  <c r="F14" i="3"/>
  <c r="E11" i="3"/>
  <c r="E12" i="3"/>
  <c r="E13" i="3"/>
  <c r="E14" i="3"/>
  <c r="D11" i="3"/>
  <c r="D12" i="3"/>
  <c r="D13" i="3"/>
  <c r="D14" i="3"/>
  <c r="C11" i="3"/>
  <c r="C12" i="3"/>
  <c r="C13" i="3"/>
  <c r="C14" i="3"/>
  <c r="B11" i="3"/>
  <c r="B12" i="3"/>
  <c r="B13" i="3"/>
  <c r="B14" i="3"/>
  <c r="F10" i="3"/>
  <c r="E10" i="3"/>
  <c r="D10" i="3"/>
  <c r="C10" i="3"/>
  <c r="B10" i="3"/>
  <c r="B5" i="1"/>
  <c r="F5" i="3"/>
  <c r="F6" i="3"/>
  <c r="E5" i="3"/>
  <c r="E6" i="3"/>
  <c r="D5" i="3"/>
  <c r="D6" i="3"/>
  <c r="C5" i="3"/>
  <c r="C6" i="3"/>
  <c r="B5" i="3"/>
  <c r="B6" i="3"/>
  <c r="F4" i="3"/>
  <c r="E4" i="3"/>
  <c r="D4" i="3"/>
  <c r="C4" i="3"/>
  <c r="B4" i="3"/>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2" i="1"/>
  <c r="B3" i="1"/>
  <c r="B4"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2" i="1"/>
  <c r="A2" i="1" a="1"/>
  <c r="A2" i="1" s="1"/>
  <c r="AA17" i="2"/>
  <c r="AA18" i="2"/>
  <c r="AA20" i="2"/>
  <c r="AA23" i="2"/>
  <c r="AA29" i="2"/>
  <c r="AA31" i="2"/>
  <c r="AA32" i="2"/>
  <c r="AA34" i="2"/>
  <c r="AA37" i="2"/>
  <c r="AA43" i="2"/>
  <c r="AA45" i="2"/>
  <c r="AA46" i="2"/>
  <c r="AA48" i="2"/>
  <c r="AA51" i="2"/>
  <c r="AA57" i="2"/>
  <c r="AA59" i="2"/>
  <c r="AA60" i="2"/>
  <c r="AA62" i="2"/>
  <c r="AA65" i="2"/>
  <c r="AA71" i="2"/>
  <c r="AA73" i="2"/>
  <c r="AA74" i="2"/>
  <c r="AA76" i="2"/>
  <c r="AA79" i="2"/>
  <c r="AA85" i="2"/>
  <c r="AA87" i="2"/>
  <c r="AA88" i="2"/>
  <c r="AA90" i="2"/>
  <c r="AA93" i="2"/>
  <c r="AA99" i="2"/>
  <c r="AA101" i="2"/>
  <c r="AA102" i="2"/>
  <c r="AA104" i="2"/>
  <c r="AA107" i="2"/>
  <c r="AA113" i="2"/>
  <c r="AA115" i="2"/>
  <c r="AA116" i="2"/>
  <c r="AA118" i="2"/>
  <c r="AA121" i="2"/>
  <c r="AA127" i="2"/>
  <c r="AA129" i="2"/>
  <c r="AA130" i="2"/>
  <c r="AA132" i="2"/>
  <c r="AA135" i="2"/>
  <c r="AA141" i="2"/>
  <c r="AA143" i="2"/>
  <c r="AA144" i="2"/>
  <c r="AA146" i="2"/>
  <c r="AA149" i="2"/>
  <c r="AA155" i="2"/>
  <c r="AA157" i="2"/>
  <c r="AA158" i="2"/>
  <c r="AA160" i="2"/>
  <c r="AA163" i="2"/>
  <c r="AA169" i="2"/>
  <c r="AA171" i="2"/>
  <c r="AA172" i="2"/>
  <c r="AA174" i="2"/>
  <c r="AA177" i="2"/>
  <c r="AA183" i="2"/>
  <c r="AA185" i="2"/>
  <c r="AA186" i="2"/>
  <c r="AA188" i="2"/>
  <c r="AA191" i="2"/>
  <c r="AA197" i="2"/>
  <c r="AA199" i="2"/>
  <c r="AA200" i="2"/>
  <c r="AA202" i="2"/>
  <c r="AA205" i="2"/>
  <c r="AA211" i="2"/>
  <c r="AA213" i="2"/>
  <c r="AA214" i="2"/>
  <c r="AA216" i="2"/>
  <c r="AA219" i="2"/>
  <c r="AA225" i="2"/>
  <c r="AA227" i="2"/>
  <c r="AA228" i="2"/>
  <c r="AA230" i="2"/>
  <c r="AA233" i="2"/>
  <c r="AA239" i="2"/>
  <c r="AA241" i="2"/>
  <c r="AA242" i="2"/>
  <c r="AA244" i="2"/>
  <c r="AA247" i="2"/>
  <c r="AA253" i="2"/>
  <c r="AA255" i="2"/>
  <c r="AA256" i="2"/>
  <c r="AA258" i="2"/>
  <c r="AA261" i="2"/>
  <c r="AA267" i="2"/>
  <c r="AA269" i="2"/>
  <c r="AA270" i="2"/>
  <c r="AA272" i="2"/>
  <c r="AA275" i="2"/>
  <c r="AA281" i="2"/>
  <c r="AA283" i="2"/>
  <c r="AA284" i="2"/>
  <c r="AA286" i="2"/>
  <c r="AA289" i="2"/>
  <c r="AA295" i="2"/>
  <c r="AA297" i="2"/>
  <c r="AA298" i="2"/>
  <c r="AA300" i="2"/>
  <c r="AA303" i="2"/>
  <c r="AA309" i="2"/>
  <c r="AA311" i="2"/>
  <c r="AA312" i="2"/>
  <c r="AA314" i="2"/>
  <c r="AA317" i="2"/>
  <c r="AA323" i="2"/>
  <c r="AA325" i="2"/>
  <c r="AA326" i="2"/>
  <c r="AA328" i="2"/>
  <c r="AA331" i="2"/>
  <c r="AA337" i="2"/>
  <c r="AA339" i="2"/>
  <c r="AA340" i="2"/>
  <c r="AA342" i="2"/>
  <c r="AA345" i="2"/>
  <c r="AA351" i="2"/>
  <c r="AA353" i="2"/>
  <c r="AA354" i="2"/>
  <c r="AA356" i="2"/>
  <c r="AA359" i="2"/>
  <c r="AA365" i="2"/>
  <c r="AA367" i="2"/>
  <c r="AA368" i="2"/>
  <c r="AA370" i="2"/>
  <c r="AA373" i="2"/>
  <c r="AA379" i="2"/>
  <c r="AA381" i="2"/>
  <c r="AA382" i="2"/>
  <c r="AA384" i="2"/>
  <c r="AA387" i="2"/>
  <c r="AA393" i="2"/>
  <c r="AA395" i="2"/>
  <c r="AA396" i="2"/>
  <c r="AA398" i="2"/>
  <c r="AA401" i="2"/>
  <c r="AA407" i="2"/>
  <c r="AA409" i="2"/>
  <c r="AA410" i="2"/>
  <c r="AA412" i="2"/>
  <c r="AA415" i="2"/>
  <c r="AA421" i="2"/>
  <c r="AA423" i="2"/>
  <c r="AA424" i="2"/>
  <c r="AA426" i="2"/>
  <c r="AA429" i="2"/>
  <c r="AA435" i="2"/>
  <c r="AA437" i="2"/>
  <c r="AA438" i="2"/>
  <c r="AA440" i="2"/>
  <c r="AA443" i="2"/>
  <c r="AA449" i="2"/>
  <c r="AA451" i="2"/>
  <c r="AA452" i="2"/>
  <c r="AA454" i="2"/>
  <c r="AA457" i="2"/>
  <c r="AA463" i="2"/>
  <c r="AA465" i="2"/>
  <c r="AA466" i="2"/>
  <c r="AA468" i="2"/>
  <c r="AA471" i="2"/>
  <c r="AA477" i="2"/>
  <c r="AA479" i="2"/>
  <c r="AA480" i="2"/>
  <c r="AA482" i="2"/>
  <c r="AA485" i="2"/>
  <c r="AA491" i="2"/>
  <c r="AA493" i="2"/>
  <c r="AA494" i="2"/>
  <c r="AA496" i="2"/>
  <c r="AA499" i="2"/>
  <c r="Z2" i="2"/>
  <c r="AA2" i="2" s="1"/>
  <c r="Z3" i="2"/>
  <c r="AA3" i="2" s="1"/>
  <c r="Z4" i="2"/>
  <c r="AA4" i="2" s="1"/>
  <c r="Z5" i="2"/>
  <c r="AA5" i="2" s="1"/>
  <c r="Z6" i="2"/>
  <c r="AA6" i="2" s="1"/>
  <c r="Z7" i="2"/>
  <c r="AA7" i="2" s="1"/>
  <c r="Z8" i="2"/>
  <c r="AA8" i="2" s="1"/>
  <c r="Z9" i="2"/>
  <c r="AA9" i="2" s="1"/>
  <c r="Z10" i="2"/>
  <c r="AA10" i="2" s="1"/>
  <c r="Z11" i="2"/>
  <c r="AA11" i="2" s="1"/>
  <c r="Z12" i="2"/>
  <c r="AA12" i="2" s="1"/>
  <c r="Z13" i="2"/>
  <c r="AA13" i="2" s="1"/>
  <c r="Z14" i="2"/>
  <c r="AA14" i="2" s="1"/>
  <c r="Z15" i="2"/>
  <c r="AA15" i="2" s="1"/>
  <c r="Z16" i="2"/>
  <c r="AA16" i="2" s="1"/>
  <c r="Z17" i="2"/>
  <c r="Z18" i="2"/>
  <c r="Z19" i="2"/>
  <c r="AA19" i="2" s="1"/>
  <c r="Z20" i="2"/>
  <c r="Z21" i="2"/>
  <c r="AA21" i="2" s="1"/>
  <c r="Z22" i="2"/>
  <c r="AA22" i="2" s="1"/>
  <c r="Z23" i="2"/>
  <c r="Z24" i="2"/>
  <c r="AA24" i="2" s="1"/>
  <c r="Z25" i="2"/>
  <c r="AA25" i="2" s="1"/>
  <c r="Z26" i="2"/>
  <c r="AA26" i="2" s="1"/>
  <c r="Z27" i="2"/>
  <c r="AA27" i="2" s="1"/>
  <c r="Z28" i="2"/>
  <c r="AA28" i="2" s="1"/>
  <c r="Z29" i="2"/>
  <c r="Z30" i="2"/>
  <c r="AA30" i="2" s="1"/>
  <c r="Z31" i="2"/>
  <c r="Z32" i="2"/>
  <c r="Z33" i="2"/>
  <c r="AA33" i="2" s="1"/>
  <c r="Z34" i="2"/>
  <c r="Z35" i="2"/>
  <c r="AA35" i="2" s="1"/>
  <c r="Z36" i="2"/>
  <c r="AA36" i="2" s="1"/>
  <c r="Z37" i="2"/>
  <c r="Z38" i="2"/>
  <c r="AA38" i="2" s="1"/>
  <c r="Z39" i="2"/>
  <c r="AA39" i="2" s="1"/>
  <c r="Z40" i="2"/>
  <c r="AA40" i="2" s="1"/>
  <c r="Z41" i="2"/>
  <c r="AA41" i="2" s="1"/>
  <c r="Z42" i="2"/>
  <c r="AA42" i="2" s="1"/>
  <c r="Z43" i="2"/>
  <c r="Z44" i="2"/>
  <c r="AA44" i="2" s="1"/>
  <c r="Z45" i="2"/>
  <c r="Z46" i="2"/>
  <c r="Z47" i="2"/>
  <c r="AA47" i="2" s="1"/>
  <c r="Z48" i="2"/>
  <c r="Z49" i="2"/>
  <c r="AA49" i="2" s="1"/>
  <c r="Z50" i="2"/>
  <c r="AA50" i="2" s="1"/>
  <c r="Z51" i="2"/>
  <c r="Z52" i="2"/>
  <c r="AA52" i="2" s="1"/>
  <c r="Z53" i="2"/>
  <c r="AA53" i="2" s="1"/>
  <c r="Z54" i="2"/>
  <c r="AA54" i="2" s="1"/>
  <c r="Z55" i="2"/>
  <c r="AA55" i="2" s="1"/>
  <c r="Z56" i="2"/>
  <c r="AA56" i="2" s="1"/>
  <c r="Z57" i="2"/>
  <c r="Z58" i="2"/>
  <c r="AA58" i="2" s="1"/>
  <c r="Z59" i="2"/>
  <c r="Z60" i="2"/>
  <c r="Z61" i="2"/>
  <c r="AA61" i="2" s="1"/>
  <c r="Z62" i="2"/>
  <c r="Z63" i="2"/>
  <c r="AA63" i="2" s="1"/>
  <c r="Z64" i="2"/>
  <c r="AA64" i="2" s="1"/>
  <c r="Z65" i="2"/>
  <c r="Z66" i="2"/>
  <c r="AA66" i="2" s="1"/>
  <c r="Z67" i="2"/>
  <c r="AA67" i="2" s="1"/>
  <c r="Z68" i="2"/>
  <c r="AA68" i="2" s="1"/>
  <c r="Z69" i="2"/>
  <c r="AA69" i="2" s="1"/>
  <c r="Z70" i="2"/>
  <c r="AA70" i="2" s="1"/>
  <c r="Z71" i="2"/>
  <c r="Z72" i="2"/>
  <c r="AA72" i="2" s="1"/>
  <c r="Z73" i="2"/>
  <c r="Z74" i="2"/>
  <c r="Z75" i="2"/>
  <c r="AA75" i="2" s="1"/>
  <c r="Z76" i="2"/>
  <c r="Z77" i="2"/>
  <c r="AA77" i="2" s="1"/>
  <c r="Z78" i="2"/>
  <c r="AA78" i="2" s="1"/>
  <c r="Z79" i="2"/>
  <c r="Z80" i="2"/>
  <c r="AA80" i="2" s="1"/>
  <c r="Z81" i="2"/>
  <c r="AA81" i="2" s="1"/>
  <c r="Z82" i="2"/>
  <c r="AA82" i="2" s="1"/>
  <c r="Z83" i="2"/>
  <c r="AA83" i="2" s="1"/>
  <c r="Z84" i="2"/>
  <c r="AA84" i="2" s="1"/>
  <c r="Z85" i="2"/>
  <c r="Z86" i="2"/>
  <c r="AA86" i="2" s="1"/>
  <c r="Z87" i="2"/>
  <c r="Z88" i="2"/>
  <c r="Z89" i="2"/>
  <c r="AA89" i="2" s="1"/>
  <c r="Z90" i="2"/>
  <c r="Z91" i="2"/>
  <c r="AA91" i="2" s="1"/>
  <c r="Z92" i="2"/>
  <c r="AA92" i="2" s="1"/>
  <c r="Z93" i="2"/>
  <c r="Z94" i="2"/>
  <c r="AA94" i="2" s="1"/>
  <c r="Z95" i="2"/>
  <c r="AA95" i="2" s="1"/>
  <c r="Z96" i="2"/>
  <c r="AA96" i="2" s="1"/>
  <c r="Z97" i="2"/>
  <c r="AA97" i="2" s="1"/>
  <c r="Z98" i="2"/>
  <c r="AA98" i="2" s="1"/>
  <c r="Z99" i="2"/>
  <c r="Z100" i="2"/>
  <c r="AA100" i="2" s="1"/>
  <c r="Z101" i="2"/>
  <c r="Z102" i="2"/>
  <c r="Z103" i="2"/>
  <c r="AA103" i="2" s="1"/>
  <c r="Z104" i="2"/>
  <c r="Z105" i="2"/>
  <c r="AA105" i="2" s="1"/>
  <c r="Z106" i="2"/>
  <c r="AA106" i="2" s="1"/>
  <c r="Z107" i="2"/>
  <c r="Z108" i="2"/>
  <c r="AA108" i="2" s="1"/>
  <c r="Z109" i="2"/>
  <c r="AA109" i="2" s="1"/>
  <c r="Z110" i="2"/>
  <c r="AA110" i="2" s="1"/>
  <c r="Z111" i="2"/>
  <c r="AA111" i="2" s="1"/>
  <c r="Z112" i="2"/>
  <c r="AA112" i="2" s="1"/>
  <c r="Z113" i="2"/>
  <c r="Z114" i="2"/>
  <c r="AA114" i="2" s="1"/>
  <c r="Z115" i="2"/>
  <c r="Z116" i="2"/>
  <c r="Z117" i="2"/>
  <c r="AA117" i="2" s="1"/>
  <c r="Z118" i="2"/>
  <c r="Z119" i="2"/>
  <c r="AA119" i="2" s="1"/>
  <c r="Z120" i="2"/>
  <c r="AA120" i="2" s="1"/>
  <c r="Z121" i="2"/>
  <c r="Z122" i="2"/>
  <c r="AA122" i="2" s="1"/>
  <c r="Z123" i="2"/>
  <c r="AA123" i="2" s="1"/>
  <c r="Z124" i="2"/>
  <c r="AA124" i="2" s="1"/>
  <c r="Z125" i="2"/>
  <c r="AA125" i="2" s="1"/>
  <c r="Z126" i="2"/>
  <c r="AA126" i="2" s="1"/>
  <c r="Z127" i="2"/>
  <c r="Z128" i="2"/>
  <c r="AA128" i="2" s="1"/>
  <c r="Z129" i="2"/>
  <c r="Z130" i="2"/>
  <c r="Z131" i="2"/>
  <c r="AA131" i="2" s="1"/>
  <c r="Z132" i="2"/>
  <c r="Z133" i="2"/>
  <c r="AA133" i="2" s="1"/>
  <c r="Z134" i="2"/>
  <c r="AA134" i="2" s="1"/>
  <c r="Z135" i="2"/>
  <c r="Z136" i="2"/>
  <c r="AA136" i="2" s="1"/>
  <c r="Z137" i="2"/>
  <c r="AA137" i="2" s="1"/>
  <c r="Z138" i="2"/>
  <c r="AA138" i="2" s="1"/>
  <c r="Z139" i="2"/>
  <c r="AA139" i="2" s="1"/>
  <c r="Z140" i="2"/>
  <c r="AA140" i="2" s="1"/>
  <c r="Z141" i="2"/>
  <c r="Z142" i="2"/>
  <c r="AA142" i="2" s="1"/>
  <c r="Z143" i="2"/>
  <c r="Z144" i="2"/>
  <c r="Z145" i="2"/>
  <c r="AA145" i="2" s="1"/>
  <c r="Z146" i="2"/>
  <c r="Z147" i="2"/>
  <c r="AA147" i="2" s="1"/>
  <c r="Z148" i="2"/>
  <c r="AA148" i="2" s="1"/>
  <c r="Z149" i="2"/>
  <c r="Z150" i="2"/>
  <c r="AA150" i="2" s="1"/>
  <c r="Z151" i="2"/>
  <c r="AA151" i="2" s="1"/>
  <c r="Z152" i="2"/>
  <c r="AA152" i="2" s="1"/>
  <c r="Z153" i="2"/>
  <c r="AA153" i="2" s="1"/>
  <c r="Z154" i="2"/>
  <c r="AA154" i="2" s="1"/>
  <c r="Z155" i="2"/>
  <c r="Z156" i="2"/>
  <c r="AA156" i="2" s="1"/>
  <c r="Z157" i="2"/>
  <c r="Z158" i="2"/>
  <c r="Z159" i="2"/>
  <c r="AA159" i="2" s="1"/>
  <c r="Z160" i="2"/>
  <c r="Z161" i="2"/>
  <c r="AA161" i="2" s="1"/>
  <c r="Z162" i="2"/>
  <c r="AA162" i="2" s="1"/>
  <c r="Z163" i="2"/>
  <c r="Z164" i="2"/>
  <c r="AA164" i="2" s="1"/>
  <c r="Z165" i="2"/>
  <c r="AA165" i="2" s="1"/>
  <c r="Z166" i="2"/>
  <c r="AA166" i="2" s="1"/>
  <c r="Z167" i="2"/>
  <c r="AA167" i="2" s="1"/>
  <c r="Z168" i="2"/>
  <c r="AA168" i="2" s="1"/>
  <c r="Z169" i="2"/>
  <c r="Z170" i="2"/>
  <c r="AA170" i="2" s="1"/>
  <c r="Z171" i="2"/>
  <c r="Z172" i="2"/>
  <c r="Z173" i="2"/>
  <c r="AA173" i="2" s="1"/>
  <c r="Z174" i="2"/>
  <c r="Z175" i="2"/>
  <c r="AA175" i="2" s="1"/>
  <c r="Z176" i="2"/>
  <c r="AA176" i="2" s="1"/>
  <c r="Z177" i="2"/>
  <c r="Z178" i="2"/>
  <c r="AA178" i="2" s="1"/>
  <c r="Z179" i="2"/>
  <c r="AA179" i="2" s="1"/>
  <c r="Z180" i="2"/>
  <c r="AA180" i="2" s="1"/>
  <c r="Z181" i="2"/>
  <c r="AA181" i="2" s="1"/>
  <c r="Z182" i="2"/>
  <c r="AA182" i="2" s="1"/>
  <c r="Z183" i="2"/>
  <c r="Z184" i="2"/>
  <c r="AA184" i="2" s="1"/>
  <c r="Z185" i="2"/>
  <c r="Z186" i="2"/>
  <c r="Z187" i="2"/>
  <c r="AA187" i="2" s="1"/>
  <c r="Z188" i="2"/>
  <c r="Z189" i="2"/>
  <c r="AA189" i="2" s="1"/>
  <c r="Z190" i="2"/>
  <c r="AA190" i="2" s="1"/>
  <c r="Z191" i="2"/>
  <c r="Z192" i="2"/>
  <c r="AA192" i="2" s="1"/>
  <c r="Z193" i="2"/>
  <c r="AA193" i="2" s="1"/>
  <c r="Z194" i="2"/>
  <c r="AA194" i="2" s="1"/>
  <c r="Z195" i="2"/>
  <c r="AA195" i="2" s="1"/>
  <c r="Z196" i="2"/>
  <c r="AA196" i="2" s="1"/>
  <c r="Z197" i="2"/>
  <c r="Z198" i="2"/>
  <c r="AA198" i="2" s="1"/>
  <c r="Z199" i="2"/>
  <c r="Z200" i="2"/>
  <c r="Z201" i="2"/>
  <c r="AA201" i="2" s="1"/>
  <c r="Z202" i="2"/>
  <c r="Z203" i="2"/>
  <c r="AA203" i="2" s="1"/>
  <c r="Z204" i="2"/>
  <c r="AA204" i="2" s="1"/>
  <c r="Z205" i="2"/>
  <c r="Z206" i="2"/>
  <c r="AA206" i="2" s="1"/>
  <c r="Z207" i="2"/>
  <c r="AA207" i="2" s="1"/>
  <c r="Z208" i="2"/>
  <c r="AA208" i="2" s="1"/>
  <c r="Z209" i="2"/>
  <c r="AA209" i="2" s="1"/>
  <c r="Z210" i="2"/>
  <c r="AA210" i="2" s="1"/>
  <c r="Z211" i="2"/>
  <c r="Z212" i="2"/>
  <c r="AA212" i="2" s="1"/>
  <c r="Z213" i="2"/>
  <c r="Z214" i="2"/>
  <c r="Z215" i="2"/>
  <c r="AA215" i="2" s="1"/>
  <c r="Z216" i="2"/>
  <c r="Z217" i="2"/>
  <c r="AA217" i="2" s="1"/>
  <c r="Z218" i="2"/>
  <c r="AA218" i="2" s="1"/>
  <c r="Z219" i="2"/>
  <c r="Z220" i="2"/>
  <c r="AA220" i="2" s="1"/>
  <c r="Z221" i="2"/>
  <c r="AA221" i="2" s="1"/>
  <c r="Z222" i="2"/>
  <c r="AA222" i="2" s="1"/>
  <c r="Z223" i="2"/>
  <c r="AA223" i="2" s="1"/>
  <c r="Z224" i="2"/>
  <c r="AA224" i="2" s="1"/>
  <c r="Z225" i="2"/>
  <c r="Z226" i="2"/>
  <c r="AA226" i="2" s="1"/>
  <c r="Z227" i="2"/>
  <c r="Z228" i="2"/>
  <c r="Z229" i="2"/>
  <c r="AA229" i="2" s="1"/>
  <c r="Z230" i="2"/>
  <c r="Z231" i="2"/>
  <c r="AA231" i="2" s="1"/>
  <c r="Z232" i="2"/>
  <c r="AA232" i="2" s="1"/>
  <c r="Z233" i="2"/>
  <c r="Z234" i="2"/>
  <c r="AA234" i="2" s="1"/>
  <c r="Z235" i="2"/>
  <c r="AA235" i="2" s="1"/>
  <c r="Z236" i="2"/>
  <c r="AA236" i="2" s="1"/>
  <c r="Z237" i="2"/>
  <c r="AA237" i="2" s="1"/>
  <c r="Z238" i="2"/>
  <c r="AA238" i="2" s="1"/>
  <c r="Z239" i="2"/>
  <c r="Z240" i="2"/>
  <c r="AA240" i="2" s="1"/>
  <c r="Z241" i="2"/>
  <c r="Z242" i="2"/>
  <c r="Z243" i="2"/>
  <c r="AA243" i="2" s="1"/>
  <c r="Z244" i="2"/>
  <c r="Z245" i="2"/>
  <c r="AA245" i="2" s="1"/>
  <c r="Z246" i="2"/>
  <c r="AA246" i="2" s="1"/>
  <c r="Z247" i="2"/>
  <c r="Z248" i="2"/>
  <c r="AA248" i="2" s="1"/>
  <c r="Z249" i="2"/>
  <c r="AA249" i="2" s="1"/>
  <c r="Z250" i="2"/>
  <c r="AA250" i="2" s="1"/>
  <c r="Z251" i="2"/>
  <c r="AA251" i="2" s="1"/>
  <c r="Z252" i="2"/>
  <c r="AA252" i="2" s="1"/>
  <c r="Z253" i="2"/>
  <c r="Z254" i="2"/>
  <c r="AA254" i="2" s="1"/>
  <c r="Z255" i="2"/>
  <c r="Z256" i="2"/>
  <c r="Z257" i="2"/>
  <c r="AA257" i="2" s="1"/>
  <c r="Z258" i="2"/>
  <c r="Z259" i="2"/>
  <c r="AA259" i="2" s="1"/>
  <c r="Z260" i="2"/>
  <c r="AA260" i="2" s="1"/>
  <c r="Z261" i="2"/>
  <c r="Z262" i="2"/>
  <c r="AA262" i="2" s="1"/>
  <c r="Z263" i="2"/>
  <c r="AA263" i="2" s="1"/>
  <c r="Z264" i="2"/>
  <c r="AA264" i="2" s="1"/>
  <c r="Z265" i="2"/>
  <c r="AA265" i="2" s="1"/>
  <c r="Z266" i="2"/>
  <c r="AA266" i="2" s="1"/>
  <c r="Z267" i="2"/>
  <c r="Z268" i="2"/>
  <c r="AA268" i="2" s="1"/>
  <c r="Z269" i="2"/>
  <c r="Z270" i="2"/>
  <c r="Z271" i="2"/>
  <c r="AA271" i="2" s="1"/>
  <c r="Z272" i="2"/>
  <c r="Z273" i="2"/>
  <c r="AA273" i="2" s="1"/>
  <c r="Z274" i="2"/>
  <c r="AA274" i="2" s="1"/>
  <c r="Z275" i="2"/>
  <c r="Z276" i="2"/>
  <c r="AA276" i="2" s="1"/>
  <c r="Z277" i="2"/>
  <c r="AA277" i="2" s="1"/>
  <c r="Z278" i="2"/>
  <c r="AA278" i="2" s="1"/>
  <c r="Z279" i="2"/>
  <c r="AA279" i="2" s="1"/>
  <c r="Z280" i="2"/>
  <c r="AA280" i="2" s="1"/>
  <c r="Z281" i="2"/>
  <c r="Z282" i="2"/>
  <c r="AA282" i="2" s="1"/>
  <c r="Z283" i="2"/>
  <c r="Z284" i="2"/>
  <c r="Z285" i="2"/>
  <c r="AA285" i="2" s="1"/>
  <c r="Z286" i="2"/>
  <c r="Z287" i="2"/>
  <c r="AA287" i="2" s="1"/>
  <c r="Z288" i="2"/>
  <c r="AA288" i="2" s="1"/>
  <c r="Z289" i="2"/>
  <c r="Z290" i="2"/>
  <c r="AA290" i="2" s="1"/>
  <c r="Z291" i="2"/>
  <c r="AA291" i="2" s="1"/>
  <c r="Z292" i="2"/>
  <c r="AA292" i="2" s="1"/>
  <c r="Z293" i="2"/>
  <c r="AA293" i="2" s="1"/>
  <c r="Z294" i="2"/>
  <c r="AA294" i="2" s="1"/>
  <c r="Z295" i="2"/>
  <c r="Z296" i="2"/>
  <c r="AA296" i="2" s="1"/>
  <c r="Z297" i="2"/>
  <c r="Z298" i="2"/>
  <c r="Z299" i="2"/>
  <c r="AA299" i="2" s="1"/>
  <c r="Z300" i="2"/>
  <c r="Z301" i="2"/>
  <c r="AA301" i="2" s="1"/>
  <c r="Z302" i="2"/>
  <c r="AA302" i="2" s="1"/>
  <c r="Z303" i="2"/>
  <c r="Z304" i="2"/>
  <c r="AA304" i="2" s="1"/>
  <c r="Z305" i="2"/>
  <c r="AA305" i="2" s="1"/>
  <c r="Z306" i="2"/>
  <c r="AA306" i="2" s="1"/>
  <c r="Z307" i="2"/>
  <c r="AA307" i="2" s="1"/>
  <c r="Z308" i="2"/>
  <c r="AA308" i="2" s="1"/>
  <c r="Z309" i="2"/>
  <c r="Z310" i="2"/>
  <c r="AA310" i="2" s="1"/>
  <c r="Z311" i="2"/>
  <c r="Z312" i="2"/>
  <c r="Z313" i="2"/>
  <c r="AA313" i="2" s="1"/>
  <c r="Z314" i="2"/>
  <c r="Z315" i="2"/>
  <c r="AA315" i="2" s="1"/>
  <c r="Z316" i="2"/>
  <c r="AA316" i="2" s="1"/>
  <c r="Z317" i="2"/>
  <c r="Z318" i="2"/>
  <c r="AA318" i="2" s="1"/>
  <c r="Z319" i="2"/>
  <c r="AA319" i="2" s="1"/>
  <c r="Z320" i="2"/>
  <c r="AA320" i="2" s="1"/>
  <c r="Z321" i="2"/>
  <c r="AA321" i="2" s="1"/>
  <c r="Z322" i="2"/>
  <c r="AA322" i="2" s="1"/>
  <c r="Z323" i="2"/>
  <c r="Z324" i="2"/>
  <c r="AA324" i="2" s="1"/>
  <c r="Z325" i="2"/>
  <c r="Z326" i="2"/>
  <c r="Z327" i="2"/>
  <c r="AA327" i="2" s="1"/>
  <c r="Z328" i="2"/>
  <c r="Z329" i="2"/>
  <c r="AA329" i="2" s="1"/>
  <c r="Z330" i="2"/>
  <c r="AA330" i="2" s="1"/>
  <c r="Z331" i="2"/>
  <c r="Z332" i="2"/>
  <c r="AA332" i="2" s="1"/>
  <c r="Z333" i="2"/>
  <c r="AA333" i="2" s="1"/>
  <c r="Z334" i="2"/>
  <c r="AA334" i="2" s="1"/>
  <c r="Z335" i="2"/>
  <c r="AA335" i="2" s="1"/>
  <c r="Z336" i="2"/>
  <c r="AA336" i="2" s="1"/>
  <c r="Z337" i="2"/>
  <c r="Z338" i="2"/>
  <c r="AA338" i="2" s="1"/>
  <c r="Z339" i="2"/>
  <c r="Z340" i="2"/>
  <c r="Z341" i="2"/>
  <c r="AA341" i="2" s="1"/>
  <c r="Z342" i="2"/>
  <c r="Z343" i="2"/>
  <c r="AA343" i="2" s="1"/>
  <c r="Z344" i="2"/>
  <c r="AA344" i="2" s="1"/>
  <c r="Z345" i="2"/>
  <c r="Z346" i="2"/>
  <c r="AA346" i="2" s="1"/>
  <c r="Z347" i="2"/>
  <c r="AA347" i="2" s="1"/>
  <c r="Z348" i="2"/>
  <c r="AA348" i="2" s="1"/>
  <c r="Z349" i="2"/>
  <c r="AA349" i="2" s="1"/>
  <c r="Z350" i="2"/>
  <c r="AA350" i="2" s="1"/>
  <c r="Z351" i="2"/>
  <c r="Z352" i="2"/>
  <c r="AA352" i="2" s="1"/>
  <c r="Z353" i="2"/>
  <c r="Z354" i="2"/>
  <c r="Z355" i="2"/>
  <c r="AA355" i="2" s="1"/>
  <c r="Z356" i="2"/>
  <c r="Z357" i="2"/>
  <c r="AA357" i="2" s="1"/>
  <c r="Z358" i="2"/>
  <c r="AA358" i="2" s="1"/>
  <c r="Z359" i="2"/>
  <c r="Z360" i="2"/>
  <c r="AA360" i="2" s="1"/>
  <c r="Z361" i="2"/>
  <c r="AA361" i="2" s="1"/>
  <c r="Z362" i="2"/>
  <c r="AA362" i="2" s="1"/>
  <c r="Z363" i="2"/>
  <c r="AA363" i="2" s="1"/>
  <c r="Z364" i="2"/>
  <c r="AA364" i="2" s="1"/>
  <c r="Z365" i="2"/>
  <c r="Z366" i="2"/>
  <c r="AA366" i="2" s="1"/>
  <c r="Z367" i="2"/>
  <c r="Z368" i="2"/>
  <c r="Z369" i="2"/>
  <c r="AA369" i="2" s="1"/>
  <c r="Z370" i="2"/>
  <c r="Z371" i="2"/>
  <c r="AA371" i="2" s="1"/>
  <c r="Z372" i="2"/>
  <c r="AA372" i="2" s="1"/>
  <c r="Z373" i="2"/>
  <c r="Z374" i="2"/>
  <c r="AA374" i="2" s="1"/>
  <c r="Z375" i="2"/>
  <c r="AA375" i="2" s="1"/>
  <c r="Z376" i="2"/>
  <c r="AA376" i="2" s="1"/>
  <c r="Z377" i="2"/>
  <c r="AA377" i="2" s="1"/>
  <c r="Z378" i="2"/>
  <c r="AA378" i="2" s="1"/>
  <c r="Z379" i="2"/>
  <c r="Z380" i="2"/>
  <c r="AA380" i="2" s="1"/>
  <c r="Z381" i="2"/>
  <c r="Z382" i="2"/>
  <c r="Z383" i="2"/>
  <c r="AA383" i="2" s="1"/>
  <c r="Z384" i="2"/>
  <c r="Z385" i="2"/>
  <c r="AA385" i="2" s="1"/>
  <c r="Z386" i="2"/>
  <c r="AA386" i="2" s="1"/>
  <c r="Z387" i="2"/>
  <c r="Z388" i="2"/>
  <c r="AA388" i="2" s="1"/>
  <c r="Z389" i="2"/>
  <c r="AA389" i="2" s="1"/>
  <c r="Z390" i="2"/>
  <c r="AA390" i="2" s="1"/>
  <c r="Z391" i="2"/>
  <c r="AA391" i="2" s="1"/>
  <c r="Z392" i="2"/>
  <c r="AA392" i="2" s="1"/>
  <c r="Z393" i="2"/>
  <c r="Z394" i="2"/>
  <c r="AA394" i="2" s="1"/>
  <c r="Z395" i="2"/>
  <c r="Z396" i="2"/>
  <c r="Z397" i="2"/>
  <c r="AA397" i="2" s="1"/>
  <c r="Z398" i="2"/>
  <c r="Z399" i="2"/>
  <c r="AA399" i="2" s="1"/>
  <c r="Z400" i="2"/>
  <c r="AA400" i="2" s="1"/>
  <c r="Z401" i="2"/>
  <c r="Z402" i="2"/>
  <c r="AA402" i="2" s="1"/>
  <c r="Z403" i="2"/>
  <c r="AA403" i="2" s="1"/>
  <c r="Z404" i="2"/>
  <c r="AA404" i="2" s="1"/>
  <c r="Z405" i="2"/>
  <c r="AA405" i="2" s="1"/>
  <c r="Z406" i="2"/>
  <c r="AA406" i="2" s="1"/>
  <c r="Z407" i="2"/>
  <c r="Z408" i="2"/>
  <c r="AA408" i="2" s="1"/>
  <c r="Z409" i="2"/>
  <c r="Z410" i="2"/>
  <c r="Z411" i="2"/>
  <c r="AA411" i="2" s="1"/>
  <c r="Z412" i="2"/>
  <c r="Z413" i="2"/>
  <c r="AA413" i="2" s="1"/>
  <c r="Z414" i="2"/>
  <c r="AA414" i="2" s="1"/>
  <c r="Z415" i="2"/>
  <c r="Z416" i="2"/>
  <c r="AA416" i="2" s="1"/>
  <c r="Z417" i="2"/>
  <c r="AA417" i="2" s="1"/>
  <c r="Z418" i="2"/>
  <c r="AA418" i="2" s="1"/>
  <c r="Z419" i="2"/>
  <c r="AA419" i="2" s="1"/>
  <c r="Z420" i="2"/>
  <c r="AA420" i="2" s="1"/>
  <c r="Z421" i="2"/>
  <c r="Z422" i="2"/>
  <c r="AA422" i="2" s="1"/>
  <c r="Z423" i="2"/>
  <c r="Z424" i="2"/>
  <c r="Z425" i="2"/>
  <c r="AA425" i="2" s="1"/>
  <c r="Z426" i="2"/>
  <c r="Z427" i="2"/>
  <c r="AA427" i="2" s="1"/>
  <c r="Z428" i="2"/>
  <c r="AA428" i="2" s="1"/>
  <c r="Z429" i="2"/>
  <c r="Z430" i="2"/>
  <c r="AA430" i="2" s="1"/>
  <c r="Z431" i="2"/>
  <c r="AA431" i="2" s="1"/>
  <c r="Z432" i="2"/>
  <c r="AA432" i="2" s="1"/>
  <c r="Z433" i="2"/>
  <c r="AA433" i="2" s="1"/>
  <c r="Z434" i="2"/>
  <c r="AA434" i="2" s="1"/>
  <c r="Z435" i="2"/>
  <c r="Z436" i="2"/>
  <c r="AA436" i="2" s="1"/>
  <c r="Z437" i="2"/>
  <c r="Z438" i="2"/>
  <c r="Z439" i="2"/>
  <c r="AA439" i="2" s="1"/>
  <c r="Z440" i="2"/>
  <c r="Z441" i="2"/>
  <c r="AA441" i="2" s="1"/>
  <c r="Z442" i="2"/>
  <c r="AA442" i="2" s="1"/>
  <c r="Z443" i="2"/>
  <c r="Z444" i="2"/>
  <c r="AA444" i="2" s="1"/>
  <c r="Z445" i="2"/>
  <c r="AA445" i="2" s="1"/>
  <c r="Z446" i="2"/>
  <c r="AA446" i="2" s="1"/>
  <c r="Z447" i="2"/>
  <c r="AA447" i="2" s="1"/>
  <c r="Z448" i="2"/>
  <c r="AA448" i="2" s="1"/>
  <c r="Z449" i="2"/>
  <c r="Z450" i="2"/>
  <c r="AA450" i="2" s="1"/>
  <c r="Z451" i="2"/>
  <c r="Z452" i="2"/>
  <c r="Z453" i="2"/>
  <c r="AA453" i="2" s="1"/>
  <c r="Z454" i="2"/>
  <c r="Z455" i="2"/>
  <c r="AA455" i="2" s="1"/>
  <c r="Z456" i="2"/>
  <c r="AA456" i="2" s="1"/>
  <c r="Z457" i="2"/>
  <c r="Z458" i="2"/>
  <c r="AA458" i="2" s="1"/>
  <c r="Z459" i="2"/>
  <c r="AA459" i="2" s="1"/>
  <c r="Z460" i="2"/>
  <c r="AA460" i="2" s="1"/>
  <c r="Z461" i="2"/>
  <c r="AA461" i="2" s="1"/>
  <c r="Z462" i="2"/>
  <c r="AA462" i="2" s="1"/>
  <c r="Z463" i="2"/>
  <c r="Z464" i="2"/>
  <c r="AA464" i="2" s="1"/>
  <c r="Z465" i="2"/>
  <c r="Z466" i="2"/>
  <c r="Z467" i="2"/>
  <c r="AA467" i="2" s="1"/>
  <c r="Z468" i="2"/>
  <c r="Z469" i="2"/>
  <c r="AA469" i="2" s="1"/>
  <c r="Z470" i="2"/>
  <c r="AA470" i="2" s="1"/>
  <c r="Z471" i="2"/>
  <c r="Z472" i="2"/>
  <c r="AA472" i="2" s="1"/>
  <c r="Z473" i="2"/>
  <c r="AA473" i="2" s="1"/>
  <c r="Z474" i="2"/>
  <c r="AA474" i="2" s="1"/>
  <c r="Z475" i="2"/>
  <c r="AA475" i="2" s="1"/>
  <c r="Z476" i="2"/>
  <c r="AA476" i="2" s="1"/>
  <c r="Z477" i="2"/>
  <c r="Z478" i="2"/>
  <c r="AA478" i="2" s="1"/>
  <c r="Z479" i="2"/>
  <c r="Z480" i="2"/>
  <c r="Z481" i="2"/>
  <c r="AA481" i="2" s="1"/>
  <c r="Z482" i="2"/>
  <c r="Z483" i="2"/>
  <c r="AA483" i="2" s="1"/>
  <c r="Z484" i="2"/>
  <c r="AA484" i="2" s="1"/>
  <c r="Z485" i="2"/>
  <c r="Z486" i="2"/>
  <c r="AA486" i="2" s="1"/>
  <c r="Z487" i="2"/>
  <c r="AA487" i="2" s="1"/>
  <c r="Z488" i="2"/>
  <c r="AA488" i="2" s="1"/>
  <c r="Z489" i="2"/>
  <c r="AA489" i="2" s="1"/>
  <c r="Z490" i="2"/>
  <c r="AA490" i="2" s="1"/>
  <c r="Z491" i="2"/>
  <c r="Z492" i="2"/>
  <c r="AA492" i="2" s="1"/>
  <c r="Z493" i="2"/>
  <c r="Z494" i="2"/>
  <c r="Z495" i="2"/>
  <c r="AA495" i="2" s="1"/>
  <c r="Z496" i="2"/>
  <c r="Z497" i="2"/>
  <c r="AA497" i="2" s="1"/>
  <c r="Z498" i="2"/>
  <c r="AA498" i="2" s="1"/>
  <c r="Z499" i="2"/>
  <c r="Z500" i="2"/>
  <c r="AA500" i="2" s="1"/>
  <c r="Z501" i="2"/>
  <c r="AA501" i="2" s="1"/>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01A8D7-DDC3-483B-A7B8-5F9FEE4522DA}" keepAlive="1" name="Query - SQL_Project_HSE_Incident_Register" description="Connection to the 'SQL_Project_HSE_Incident_Register' query in the workbook." type="5" refreshedVersion="8" background="1" saveData="1">
    <dbPr connection="Provider=Microsoft.Mashup.OleDb.1;Data Source=$Workbook$;Location=SQL_Project_HSE_Incident_Register;Extended Properties=&quot;&quot;" command="SELECT * FROM [SQL_Project_HSE_Incident_Registe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<sst xmlns="http://schemas.openxmlformats.org/spreadsheetml/2006/main" count="7594" uniqueCount="623">
  <si>
    <t>Incident_ID</t>
  </si>
  <si>
    <t>Date</t>
  </si>
  <si>
    <t>Year</t>
  </si>
  <si>
    <t>Month</t>
  </si>
  <si>
    <t>Month_Name</t>
  </si>
  <si>
    <t>Quarter</t>
  </si>
  <si>
    <t>Site</t>
  </si>
  <si>
    <t>Department</t>
  </si>
  <si>
    <t>Incident_Type</t>
  </si>
  <si>
    <t>Classification</t>
  </si>
  <si>
    <t>Body_Part_Affected</t>
  </si>
  <si>
    <t>Primary_Cause</t>
  </si>
  <si>
    <t>Shift</t>
  </si>
  <si>
    <t>Lost_Time_Days</t>
  </si>
  <si>
    <t>Weather_Conditions</t>
  </si>
  <si>
    <t>Employment_Type</t>
  </si>
  <si>
    <t>Investigator</t>
  </si>
  <si>
    <t>Investigation_Status</t>
  </si>
  <si>
    <t>Corrective_Action_Status</t>
  </si>
  <si>
    <t>Hours_Worked_That_Day</t>
  </si>
  <si>
    <t>Total_Site_Hours_Month</t>
  </si>
  <si>
    <t>TRIFR_Contribution</t>
  </si>
  <si>
    <t>Fatality</t>
  </si>
  <si>
    <t>High_Potential_Incident</t>
  </si>
  <si>
    <t>INC-0001</t>
  </si>
  <si>
    <t>October</t>
  </si>
  <si>
    <t>Q4</t>
  </si>
  <si>
    <t>Thunderbird Mine</t>
  </si>
  <si>
    <t>Administration</t>
  </si>
  <si>
    <t>Near Miss</t>
  </si>
  <si>
    <t>Non-Recordable</t>
  </si>
  <si>
    <t>Nil (No Injury)</t>
  </si>
  <si>
    <t>Contact with Chemical</t>
  </si>
  <si>
    <t>Day</t>
  </si>
  <si>
    <t>Clear</t>
  </si>
  <si>
    <t>Direct Employee</t>
  </si>
  <si>
    <t>Jo Smith</t>
  </si>
  <si>
    <t>In Progress</t>
  </si>
  <si>
    <t>Complete</t>
  </si>
  <si>
    <t>INC-0002</t>
  </si>
  <si>
    <t>April</t>
  </si>
  <si>
    <t>Q2</t>
  </si>
  <si>
    <t>Darwin Port Facility</t>
  </si>
  <si>
    <t>Construction</t>
  </si>
  <si>
    <t>First Aid</t>
  </si>
  <si>
    <t>Struck By Object</t>
  </si>
  <si>
    <t>Afternoon</t>
  </si>
  <si>
    <t>Labour Hire</t>
  </si>
  <si>
    <t>Mark Daniels</t>
  </si>
  <si>
    <t>Open</t>
  </si>
  <si>
    <t>Pending</t>
  </si>
  <si>
    <t>INC-0003</t>
  </si>
  <si>
    <t>February</t>
  </si>
  <si>
    <t>Q1</t>
  </si>
  <si>
    <t>Hazard Observation</t>
  </si>
  <si>
    <t>Tool Misuse</t>
  </si>
  <si>
    <t>Night</t>
  </si>
  <si>
    <t>Closed</t>
  </si>
  <si>
    <t>INC-0004</t>
  </si>
  <si>
    <t>Pilbara Crusher Plant</t>
  </si>
  <si>
    <t>Medical Treatment</t>
  </si>
  <si>
    <t>Recordable</t>
  </si>
  <si>
    <t>Head</t>
  </si>
  <si>
    <t>Rain</t>
  </si>
  <si>
    <t>David Torres</t>
  </si>
  <si>
    <t>INC-0005</t>
  </si>
  <si>
    <t>August</t>
  </si>
  <si>
    <t>Q3</t>
  </si>
  <si>
    <t>Mining Operations</t>
  </si>
  <si>
    <t>Eye</t>
  </si>
  <si>
    <t>Overcast</t>
  </si>
  <si>
    <t>INC-0006</t>
  </si>
  <si>
    <t>June</t>
  </si>
  <si>
    <t>Maintenance</t>
  </si>
  <si>
    <t>Manual Handling</t>
  </si>
  <si>
    <t>Wind</t>
  </si>
  <si>
    <t>Priya Nair</t>
  </si>
  <si>
    <t>INC-0007</t>
  </si>
  <si>
    <t>Broome Logistics Hub</t>
  </si>
  <si>
    <t>Environmental</t>
  </si>
  <si>
    <t>Vehicle Interaction</t>
  </si>
  <si>
    <t>Sarah Chen</t>
  </si>
  <si>
    <t>INC-0008</t>
  </si>
  <si>
    <t>Environmental Exposure</t>
  </si>
  <si>
    <t>INC-0009</t>
  </si>
  <si>
    <t>July</t>
  </si>
  <si>
    <t>Processing</t>
  </si>
  <si>
    <t>INC-0010</t>
  </si>
  <si>
    <t>Overdue</t>
  </si>
  <si>
    <t>INC-0011</t>
  </si>
  <si>
    <t>Extreme Heat</t>
  </si>
  <si>
    <t>Contractor</t>
  </si>
  <si>
    <t>INC-0012</t>
  </si>
  <si>
    <t>Slip/Trip/Fall</t>
  </si>
  <si>
    <t>INC-0013</t>
  </si>
  <si>
    <t>Procedural Non-Compliance</t>
  </si>
  <si>
    <t>INC-0014</t>
  </si>
  <si>
    <t>September</t>
  </si>
  <si>
    <t>Property Damage</t>
  </si>
  <si>
    <t>INC-0015</t>
  </si>
  <si>
    <t>Caught In/Between</t>
  </si>
  <si>
    <t>INC-0016</t>
  </si>
  <si>
    <t>INC-0017</t>
  </si>
  <si>
    <t>Fatigue</t>
  </si>
  <si>
    <t>INC-0018</t>
  </si>
  <si>
    <t>Katherine Processing Site</t>
  </si>
  <si>
    <t>INC-0019</t>
  </si>
  <si>
    <t>November</t>
  </si>
  <si>
    <t>INC-0020</t>
  </si>
  <si>
    <t>May</t>
  </si>
  <si>
    <t>Lost Time Injury</t>
  </si>
  <si>
    <t>INC-0021</t>
  </si>
  <si>
    <t>Foot/Ankle</t>
  </si>
  <si>
    <t>INC-0022</t>
  </si>
  <si>
    <t>INC-0023</t>
  </si>
  <si>
    <t>INC-0024</t>
  </si>
  <si>
    <t>INC-0025</t>
  </si>
  <si>
    <t>Shoulder</t>
  </si>
  <si>
    <t>INC-0026</t>
  </si>
  <si>
    <t>INC-0027</t>
  </si>
  <si>
    <t>Logistics</t>
  </si>
  <si>
    <t>INC-0028</t>
  </si>
  <si>
    <t>INC-0029</t>
  </si>
  <si>
    <t>December</t>
  </si>
  <si>
    <t>INC-0030</t>
  </si>
  <si>
    <t>March</t>
  </si>
  <si>
    <t>INC-0031</t>
  </si>
  <si>
    <t>INC-0032</t>
  </si>
  <si>
    <t>INC-0033</t>
  </si>
  <si>
    <t>January</t>
  </si>
  <si>
    <t>INC-0034</t>
  </si>
  <si>
    <t>INC-0035</t>
  </si>
  <si>
    <t>INC-0036</t>
  </si>
  <si>
    <t>INC-0037</t>
  </si>
  <si>
    <t>INC-0038</t>
  </si>
  <si>
    <t>INC-0039</t>
  </si>
  <si>
    <t>INC-0040</t>
  </si>
  <si>
    <t>INC-0041</t>
  </si>
  <si>
    <t>INC-0042</t>
  </si>
  <si>
    <t>Knee</t>
  </si>
  <si>
    <t>INC-0043</t>
  </si>
  <si>
    <t>INC-0044</t>
  </si>
  <si>
    <t>INC-0045</t>
  </si>
  <si>
    <t>INC-0046</t>
  </si>
  <si>
    <t>INC-0047</t>
  </si>
  <si>
    <t>INC-0048</t>
  </si>
  <si>
    <t>INC-0049</t>
  </si>
  <si>
    <t>Hand/Fingers</t>
  </si>
  <si>
    <t>INC-0050</t>
  </si>
  <si>
    <t>INC-0051</t>
  </si>
  <si>
    <t>INC-0052</t>
  </si>
  <si>
    <t>INC-0053</t>
  </si>
  <si>
    <t>INC-0054</t>
  </si>
  <si>
    <t>INC-0055</t>
  </si>
  <si>
    <t>INC-0056</t>
  </si>
  <si>
    <t>INC-0057</t>
  </si>
  <si>
    <t>INC-0058</t>
  </si>
  <si>
    <t>INC-0059</t>
  </si>
  <si>
    <t>INC-0060</t>
  </si>
  <si>
    <t>INC-0061</t>
  </si>
  <si>
    <t>INC-0062</t>
  </si>
  <si>
    <t>INC-0063</t>
  </si>
  <si>
    <t>INC-0064</t>
  </si>
  <si>
    <t>INC-0065</t>
  </si>
  <si>
    <t>INC-0066</t>
  </si>
  <si>
    <t>Back/Spine</t>
  </si>
  <si>
    <t>INC-0067</t>
  </si>
  <si>
    <t>INC-0068</t>
  </si>
  <si>
    <t>INC-0069</t>
  </si>
  <si>
    <t>INC-0070</t>
  </si>
  <si>
    <t>INC-0071</t>
  </si>
  <si>
    <t>INC-0072</t>
  </si>
  <si>
    <t>INC-0073</t>
  </si>
  <si>
    <t>INC-0074</t>
  </si>
  <si>
    <t>INC-0075</t>
  </si>
  <si>
    <t>INC-0076</t>
  </si>
  <si>
    <t>INC-0077</t>
  </si>
  <si>
    <t>INC-0078</t>
  </si>
  <si>
    <t>INC-0079</t>
  </si>
  <si>
    <t>INC-0080</t>
  </si>
  <si>
    <t>INC-0081</t>
  </si>
  <si>
    <t>INC-0082</t>
  </si>
  <si>
    <t>INC-0083</t>
  </si>
  <si>
    <t>INC-0084</t>
  </si>
  <si>
    <t>INC-0085</t>
  </si>
  <si>
    <t>INC-0086</t>
  </si>
  <si>
    <t>INC-0087</t>
  </si>
  <si>
    <t>INC-0088</t>
  </si>
  <si>
    <t>INC-0089</t>
  </si>
  <si>
    <t>INC-0090</t>
  </si>
  <si>
    <t>INC-0091</t>
  </si>
  <si>
    <t>INC-0092</t>
  </si>
  <si>
    <t>INC-0093</t>
  </si>
  <si>
    <t>INC-0094</t>
  </si>
  <si>
    <t>INC-0095</t>
  </si>
  <si>
    <t>INC-0096</t>
  </si>
  <si>
    <t>INC-0097</t>
  </si>
  <si>
    <t>INC-0098</t>
  </si>
  <si>
    <t>INC-0099</t>
  </si>
  <si>
    <t>INC-0100</t>
  </si>
  <si>
    <t>INC-0101</t>
  </si>
  <si>
    <t>INC-0102</t>
  </si>
  <si>
    <t>INC-0103</t>
  </si>
  <si>
    <t>INC-0104</t>
  </si>
  <si>
    <t>INC-0105</t>
  </si>
  <si>
    <t>INC-0106</t>
  </si>
  <si>
    <t>INC-0107</t>
  </si>
  <si>
    <t>INC-0108</t>
  </si>
  <si>
    <t>INC-0109</t>
  </si>
  <si>
    <t>INC-0110</t>
  </si>
  <si>
    <t>INC-0111</t>
  </si>
  <si>
    <t>INC-0112</t>
  </si>
  <si>
    <t>INC-0113</t>
  </si>
  <si>
    <t>INC-0114</t>
  </si>
  <si>
    <t>INC-0115</t>
  </si>
  <si>
    <t>INC-0116</t>
  </si>
  <si>
    <t>INC-0117</t>
  </si>
  <si>
    <t>INC-0118</t>
  </si>
  <si>
    <t>INC-0119</t>
  </si>
  <si>
    <t>INC-0120</t>
  </si>
  <si>
    <t>INC-0121</t>
  </si>
  <si>
    <t>INC-0122</t>
  </si>
  <si>
    <t>INC-0123</t>
  </si>
  <si>
    <t>INC-0124</t>
  </si>
  <si>
    <t>INC-0125</t>
  </si>
  <si>
    <t>INC-0126</t>
  </si>
  <si>
    <t>INC-0127</t>
  </si>
  <si>
    <t>INC-0128</t>
  </si>
  <si>
    <t>INC-0129</t>
  </si>
  <si>
    <t>INC-0130</t>
  </si>
  <si>
    <t>INC-0131</t>
  </si>
  <si>
    <t>INC-0132</t>
  </si>
  <si>
    <t>INC-0133</t>
  </si>
  <si>
    <t>INC-0134</t>
  </si>
  <si>
    <t>INC-0135</t>
  </si>
  <si>
    <t>INC-0136</t>
  </si>
  <si>
    <t>INC-0137</t>
  </si>
  <si>
    <t>INC-0138</t>
  </si>
  <si>
    <t>INC-0139</t>
  </si>
  <si>
    <t>INC-0140</t>
  </si>
  <si>
    <t>INC-0141</t>
  </si>
  <si>
    <t>INC-0142</t>
  </si>
  <si>
    <t>INC-0143</t>
  </si>
  <si>
    <t>INC-0144</t>
  </si>
  <si>
    <t>INC-0145</t>
  </si>
  <si>
    <t>INC-0146</t>
  </si>
  <si>
    <t>INC-0147</t>
  </si>
  <si>
    <t>INC-0148</t>
  </si>
  <si>
    <t>INC-0149</t>
  </si>
  <si>
    <t>INC-0150</t>
  </si>
  <si>
    <t>INC-0151</t>
  </si>
  <si>
    <t>INC-0152</t>
  </si>
  <si>
    <t>INC-0153</t>
  </si>
  <si>
    <t>INC-0154</t>
  </si>
  <si>
    <t>INC-0155</t>
  </si>
  <si>
    <t>INC-0156</t>
  </si>
  <si>
    <t>INC-0157</t>
  </si>
  <si>
    <t>INC-0158</t>
  </si>
  <si>
    <t>INC-0159</t>
  </si>
  <si>
    <t>INC-0160</t>
  </si>
  <si>
    <t>INC-0161</t>
  </si>
  <si>
    <t>INC-0162</t>
  </si>
  <si>
    <t>INC-0163</t>
  </si>
  <si>
    <t>INC-0164</t>
  </si>
  <si>
    <t>INC-0165</t>
  </si>
  <si>
    <t>INC-0166</t>
  </si>
  <si>
    <t>INC-0167</t>
  </si>
  <si>
    <t>INC-0168</t>
  </si>
  <si>
    <t>INC-0169</t>
  </si>
  <si>
    <t>INC-0170</t>
  </si>
  <si>
    <t>INC-0171</t>
  </si>
  <si>
    <t>INC-0172</t>
  </si>
  <si>
    <t>INC-0173</t>
  </si>
  <si>
    <t>INC-0174</t>
  </si>
  <si>
    <t>INC-0175</t>
  </si>
  <si>
    <t>INC-0176</t>
  </si>
  <si>
    <t>INC-0177</t>
  </si>
  <si>
    <t>INC-0178</t>
  </si>
  <si>
    <t>INC-0179</t>
  </si>
  <si>
    <t>INC-0180</t>
  </si>
  <si>
    <t>INC-0181</t>
  </si>
  <si>
    <t>INC-0182</t>
  </si>
  <si>
    <t>INC-0183</t>
  </si>
  <si>
    <t>INC-0184</t>
  </si>
  <si>
    <t>INC-0185</t>
  </si>
  <si>
    <t>INC-0186</t>
  </si>
  <si>
    <t>INC-0187</t>
  </si>
  <si>
    <t>INC-0188</t>
  </si>
  <si>
    <t>INC-0189</t>
  </si>
  <si>
    <t>INC-0190</t>
  </si>
  <si>
    <t>INC-0191</t>
  </si>
  <si>
    <t>INC-0192</t>
  </si>
  <si>
    <t>INC-0193</t>
  </si>
  <si>
    <t>INC-0194</t>
  </si>
  <si>
    <t>INC-0195</t>
  </si>
  <si>
    <t>INC-0196</t>
  </si>
  <si>
    <t>INC-0197</t>
  </si>
  <si>
    <t>INC-0198</t>
  </si>
  <si>
    <t>INC-0199</t>
  </si>
  <si>
    <t>INC-0200</t>
  </si>
  <si>
    <t>INC-0201</t>
  </si>
  <si>
    <t>INC-0202</t>
  </si>
  <si>
    <t>INC-0203</t>
  </si>
  <si>
    <t>INC-0204</t>
  </si>
  <si>
    <t>INC-0205</t>
  </si>
  <si>
    <t>INC-0206</t>
  </si>
  <si>
    <t>INC-0207</t>
  </si>
  <si>
    <t>INC-0208</t>
  </si>
  <si>
    <t>INC-0209</t>
  </si>
  <si>
    <t>INC-0210</t>
  </si>
  <si>
    <t>INC-0211</t>
  </si>
  <si>
    <t>INC-0212</t>
  </si>
  <si>
    <t>INC-0213</t>
  </si>
  <si>
    <t>INC-0214</t>
  </si>
  <si>
    <t>INC-0215</t>
  </si>
  <si>
    <t>INC-0216</t>
  </si>
  <si>
    <t>INC-0217</t>
  </si>
  <si>
    <t>INC-0218</t>
  </si>
  <si>
    <t>INC-0219</t>
  </si>
  <si>
    <t>INC-0220</t>
  </si>
  <si>
    <t>INC-0221</t>
  </si>
  <si>
    <t>INC-0222</t>
  </si>
  <si>
    <t>INC-0223</t>
  </si>
  <si>
    <t>INC-0224</t>
  </si>
  <si>
    <t>INC-0225</t>
  </si>
  <si>
    <t>INC-0226</t>
  </si>
  <si>
    <t>INC-0227</t>
  </si>
  <si>
    <t>INC-0228</t>
  </si>
  <si>
    <t>INC-0229</t>
  </si>
  <si>
    <t>INC-0230</t>
  </si>
  <si>
    <t>INC-0231</t>
  </si>
  <si>
    <t>INC-0232</t>
  </si>
  <si>
    <t>INC-0233</t>
  </si>
  <si>
    <t>INC-0234</t>
  </si>
  <si>
    <t>INC-0235</t>
  </si>
  <si>
    <t>INC-0236</t>
  </si>
  <si>
    <t>INC-0237</t>
  </si>
  <si>
    <t>INC-0238</t>
  </si>
  <si>
    <t>INC-0239</t>
  </si>
  <si>
    <t>INC-0240</t>
  </si>
  <si>
    <t>INC-0241</t>
  </si>
  <si>
    <t>INC-0242</t>
  </si>
  <si>
    <t>INC-0243</t>
  </si>
  <si>
    <t>INC-0244</t>
  </si>
  <si>
    <t>INC-0245</t>
  </si>
  <si>
    <t>INC-0246</t>
  </si>
  <si>
    <t>INC-0247</t>
  </si>
  <si>
    <t>INC-0248</t>
  </si>
  <si>
    <t>INC-0249</t>
  </si>
  <si>
    <t>INC-0250</t>
  </si>
  <si>
    <t>INC-0251</t>
  </si>
  <si>
    <t>INC-0252</t>
  </si>
  <si>
    <t>INC-0253</t>
  </si>
  <si>
    <t>INC-0254</t>
  </si>
  <si>
    <t>INC-0255</t>
  </si>
  <si>
    <t>INC-0256</t>
  </si>
  <si>
    <t>INC-0257</t>
  </si>
  <si>
    <t>INC-0258</t>
  </si>
  <si>
    <t>INC-0259</t>
  </si>
  <si>
    <t>INC-0260</t>
  </si>
  <si>
    <t>INC-0261</t>
  </si>
  <si>
    <t>INC-0262</t>
  </si>
  <si>
    <t>INC-0263</t>
  </si>
  <si>
    <t>INC-0264</t>
  </si>
  <si>
    <t>INC-0265</t>
  </si>
  <si>
    <t>INC-0266</t>
  </si>
  <si>
    <t>INC-0267</t>
  </si>
  <si>
    <t>INC-0268</t>
  </si>
  <si>
    <t>INC-0269</t>
  </si>
  <si>
    <t>INC-0270</t>
  </si>
  <si>
    <t>INC-0271</t>
  </si>
  <si>
    <t>INC-0272</t>
  </si>
  <si>
    <t>INC-0273</t>
  </si>
  <si>
    <t>INC-0274</t>
  </si>
  <si>
    <t>INC-0275</t>
  </si>
  <si>
    <t>INC-0276</t>
  </si>
  <si>
    <t>INC-0277</t>
  </si>
  <si>
    <t>INC-0278</t>
  </si>
  <si>
    <t>INC-0279</t>
  </si>
  <si>
    <t>INC-0280</t>
  </si>
  <si>
    <t>INC-0281</t>
  </si>
  <si>
    <t>INC-0282</t>
  </si>
  <si>
    <t>INC-0283</t>
  </si>
  <si>
    <t>INC-0284</t>
  </si>
  <si>
    <t>INC-0285</t>
  </si>
  <si>
    <t>INC-0286</t>
  </si>
  <si>
    <t>INC-0287</t>
  </si>
  <si>
    <t>INC-0288</t>
  </si>
  <si>
    <t>INC-0289</t>
  </si>
  <si>
    <t>INC-0290</t>
  </si>
  <si>
    <t>INC-0291</t>
  </si>
  <si>
    <t>INC-0292</t>
  </si>
  <si>
    <t>INC-0293</t>
  </si>
  <si>
    <t>INC-0294</t>
  </si>
  <si>
    <t>INC-0295</t>
  </si>
  <si>
    <t>INC-0296</t>
  </si>
  <si>
    <t>INC-0297</t>
  </si>
  <si>
    <t>INC-0298</t>
  </si>
  <si>
    <t>INC-0299</t>
  </si>
  <si>
    <t>INC-0300</t>
  </si>
  <si>
    <t>INC-0301</t>
  </si>
  <si>
    <t>INC-0302</t>
  </si>
  <si>
    <t>INC-0303</t>
  </si>
  <si>
    <t>INC-0304</t>
  </si>
  <si>
    <t>INC-0305</t>
  </si>
  <si>
    <t>INC-0306</t>
  </si>
  <si>
    <t>INC-0307</t>
  </si>
  <si>
    <t>INC-0308</t>
  </si>
  <si>
    <t>INC-0309</t>
  </si>
  <si>
    <t>INC-0310</t>
  </si>
  <si>
    <t>INC-0311</t>
  </si>
  <si>
    <t>INC-0312</t>
  </si>
  <si>
    <t>INC-0313</t>
  </si>
  <si>
    <t>INC-0314</t>
  </si>
  <si>
    <t>INC-0315</t>
  </si>
  <si>
    <t>INC-0316</t>
  </si>
  <si>
    <t>INC-0317</t>
  </si>
  <si>
    <t>INC-0318</t>
  </si>
  <si>
    <t>INC-0319</t>
  </si>
  <si>
    <t>INC-0320</t>
  </si>
  <si>
    <t>INC-0321</t>
  </si>
  <si>
    <t>INC-0322</t>
  </si>
  <si>
    <t>INC-0323</t>
  </si>
  <si>
    <t>INC-0324</t>
  </si>
  <si>
    <t>INC-0325</t>
  </si>
  <si>
    <t>INC-0326</t>
  </si>
  <si>
    <t>INC-0327</t>
  </si>
  <si>
    <t>INC-0328</t>
  </si>
  <si>
    <t>INC-0329</t>
  </si>
  <si>
    <t>INC-0330</t>
  </si>
  <si>
    <t>INC-0331</t>
  </si>
  <si>
    <t>INC-0332</t>
  </si>
  <si>
    <t>INC-0333</t>
  </si>
  <si>
    <t>INC-0334</t>
  </si>
  <si>
    <t>INC-0335</t>
  </si>
  <si>
    <t>INC-0336</t>
  </si>
  <si>
    <t>INC-0337</t>
  </si>
  <si>
    <t>INC-0338</t>
  </si>
  <si>
    <t>INC-0339</t>
  </si>
  <si>
    <t>INC-0340</t>
  </si>
  <si>
    <t>INC-0341</t>
  </si>
  <si>
    <t>INC-0342</t>
  </si>
  <si>
    <t>INC-0343</t>
  </si>
  <si>
    <t>INC-0344</t>
  </si>
  <si>
    <t>INC-0345</t>
  </si>
  <si>
    <t>INC-0346</t>
  </si>
  <si>
    <t>INC-0347</t>
  </si>
  <si>
    <t>INC-0348</t>
  </si>
  <si>
    <t>INC-0349</t>
  </si>
  <si>
    <t>INC-0350</t>
  </si>
  <si>
    <t>INC-0351</t>
  </si>
  <si>
    <t>INC-0352</t>
  </si>
  <si>
    <t>INC-0353</t>
  </si>
  <si>
    <t>INC-0354</t>
  </si>
  <si>
    <t>INC-0355</t>
  </si>
  <si>
    <t>INC-0356</t>
  </si>
  <si>
    <t>INC-0357</t>
  </si>
  <si>
    <t>INC-0358</t>
  </si>
  <si>
    <t>INC-0359</t>
  </si>
  <si>
    <t>INC-0360</t>
  </si>
  <si>
    <t>INC-0361</t>
  </si>
  <si>
    <t>INC-0362</t>
  </si>
  <si>
    <t>INC-0363</t>
  </si>
  <si>
    <t>INC-0364</t>
  </si>
  <si>
    <t>INC-0365</t>
  </si>
  <si>
    <t>INC-0366</t>
  </si>
  <si>
    <t>INC-0367</t>
  </si>
  <si>
    <t>INC-0368</t>
  </si>
  <si>
    <t>INC-0369</t>
  </si>
  <si>
    <t>INC-0370</t>
  </si>
  <si>
    <t>INC-0371</t>
  </si>
  <si>
    <t>INC-0372</t>
  </si>
  <si>
    <t>INC-0373</t>
  </si>
  <si>
    <t>INC-0374</t>
  </si>
  <si>
    <t>INC-0375</t>
  </si>
  <si>
    <t>INC-0376</t>
  </si>
  <si>
    <t>INC-0377</t>
  </si>
  <si>
    <t>INC-0378</t>
  </si>
  <si>
    <t>INC-0379</t>
  </si>
  <si>
    <t>INC-0380</t>
  </si>
  <si>
    <t>INC-0381</t>
  </si>
  <si>
    <t>INC-0382</t>
  </si>
  <si>
    <t>INC-0383</t>
  </si>
  <si>
    <t>INC-0384</t>
  </si>
  <si>
    <t>INC-0385</t>
  </si>
  <si>
    <t>INC-0386</t>
  </si>
  <si>
    <t>INC-0387</t>
  </si>
  <si>
    <t>INC-0388</t>
  </si>
  <si>
    <t>INC-0389</t>
  </si>
  <si>
    <t>INC-0390</t>
  </si>
  <si>
    <t>INC-0391</t>
  </si>
  <si>
    <t>INC-0392</t>
  </si>
  <si>
    <t>INC-0393</t>
  </si>
  <si>
    <t>INC-0394</t>
  </si>
  <si>
    <t>INC-0395</t>
  </si>
  <si>
    <t>INC-0396</t>
  </si>
  <si>
    <t>INC-0397</t>
  </si>
  <si>
    <t>INC-0398</t>
  </si>
  <si>
    <t>INC-0399</t>
  </si>
  <si>
    <t>INC-0400</t>
  </si>
  <si>
    <t>INC-0401</t>
  </si>
  <si>
    <t>INC-0402</t>
  </si>
  <si>
    <t>INC-0403</t>
  </si>
  <si>
    <t>INC-0404</t>
  </si>
  <si>
    <t>INC-0405</t>
  </si>
  <si>
    <t>INC-0406</t>
  </si>
  <si>
    <t>INC-0407</t>
  </si>
  <si>
    <t>INC-0408</t>
  </si>
  <si>
    <t>INC-0409</t>
  </si>
  <si>
    <t>INC-0410</t>
  </si>
  <si>
    <t>INC-0411</t>
  </si>
  <si>
    <t>INC-0412</t>
  </si>
  <si>
    <t>INC-0413</t>
  </si>
  <si>
    <t>INC-0414</t>
  </si>
  <si>
    <t>INC-0415</t>
  </si>
  <si>
    <t>INC-0416</t>
  </si>
  <si>
    <t>INC-0417</t>
  </si>
  <si>
    <t>INC-0418</t>
  </si>
  <si>
    <t>INC-0419</t>
  </si>
  <si>
    <t>INC-0420</t>
  </si>
  <si>
    <t>INC-0421</t>
  </si>
  <si>
    <t>INC-0422</t>
  </si>
  <si>
    <t>INC-0423</t>
  </si>
  <si>
    <t>INC-0424</t>
  </si>
  <si>
    <t>INC-0425</t>
  </si>
  <si>
    <t>INC-0426</t>
  </si>
  <si>
    <t>INC-0427</t>
  </si>
  <si>
    <t>INC-0428</t>
  </si>
  <si>
    <t>INC-0429</t>
  </si>
  <si>
    <t>INC-0430</t>
  </si>
  <si>
    <t>INC-0431</t>
  </si>
  <si>
    <t>INC-0432</t>
  </si>
  <si>
    <t>INC-0433</t>
  </si>
  <si>
    <t>INC-0434</t>
  </si>
  <si>
    <t>INC-0435</t>
  </si>
  <si>
    <t>INC-0436</t>
  </si>
  <si>
    <t>INC-0437</t>
  </si>
  <si>
    <t>INC-0438</t>
  </si>
  <si>
    <t>INC-0439</t>
  </si>
  <si>
    <t>INC-0440</t>
  </si>
  <si>
    <t>INC-0441</t>
  </si>
  <si>
    <t>INC-0442</t>
  </si>
  <si>
    <t>INC-0443</t>
  </si>
  <si>
    <t>INC-0444</t>
  </si>
  <si>
    <t>INC-0445</t>
  </si>
  <si>
    <t>INC-0446</t>
  </si>
  <si>
    <t>INC-0447</t>
  </si>
  <si>
    <t>INC-0448</t>
  </si>
  <si>
    <t>INC-0449</t>
  </si>
  <si>
    <t>INC-0450</t>
  </si>
  <si>
    <t>INC-0451</t>
  </si>
  <si>
    <t>INC-0452</t>
  </si>
  <si>
    <t>INC-0453</t>
  </si>
  <si>
    <t>INC-0454</t>
  </si>
  <si>
    <t>INC-0455</t>
  </si>
  <si>
    <t>INC-0456</t>
  </si>
  <si>
    <t>INC-0457</t>
  </si>
  <si>
    <t>INC-0458</t>
  </si>
  <si>
    <t>INC-0459</t>
  </si>
  <si>
    <t>INC-0460</t>
  </si>
  <si>
    <t>INC-0461</t>
  </si>
  <si>
    <t>INC-0462</t>
  </si>
  <si>
    <t>INC-0463</t>
  </si>
  <si>
    <t>INC-0464</t>
  </si>
  <si>
    <t>INC-0465</t>
  </si>
  <si>
    <t>INC-0466</t>
  </si>
  <si>
    <t>INC-0467</t>
  </si>
  <si>
    <t>INC-0468</t>
  </si>
  <si>
    <t>INC-0469</t>
  </si>
  <si>
    <t>INC-0470</t>
  </si>
  <si>
    <t>INC-0471</t>
  </si>
  <si>
    <t>INC-0472</t>
  </si>
  <si>
    <t>INC-0473</t>
  </si>
  <si>
    <t>INC-0474</t>
  </si>
  <si>
    <t>INC-0475</t>
  </si>
  <si>
    <t>INC-0476</t>
  </si>
  <si>
    <t>INC-0477</t>
  </si>
  <si>
    <t>INC-0478</t>
  </si>
  <si>
    <t>INC-0479</t>
  </si>
  <si>
    <t>INC-0480</t>
  </si>
  <si>
    <t>INC-0481</t>
  </si>
  <si>
    <t>INC-0482</t>
  </si>
  <si>
    <t>INC-0483</t>
  </si>
  <si>
    <t>INC-0484</t>
  </si>
  <si>
    <t>INC-0485</t>
  </si>
  <si>
    <t>INC-0486</t>
  </si>
  <si>
    <t>INC-0487</t>
  </si>
  <si>
    <t>INC-0488</t>
  </si>
  <si>
    <t>INC-0489</t>
  </si>
  <si>
    <t>INC-0490</t>
  </si>
  <si>
    <t>INC-0491</t>
  </si>
  <si>
    <t>INC-0492</t>
  </si>
  <si>
    <t>INC-0493</t>
  </si>
  <si>
    <t>INC-0494</t>
  </si>
  <si>
    <t>INC-0495</t>
  </si>
  <si>
    <t>INC-0496</t>
  </si>
  <si>
    <t>INC-0497</t>
  </si>
  <si>
    <t>INC-0498</t>
  </si>
  <si>
    <t>INC-0499</t>
  </si>
  <si>
    <t>INC-0500</t>
  </si>
  <si>
    <t>LTI_Flag</t>
  </si>
  <si>
    <t>Month_Key</t>
  </si>
  <si>
    <t>Site_Month_Key</t>
  </si>
  <si>
    <t>Monthly_Hours</t>
  </si>
  <si>
    <t>Check_Total</t>
  </si>
  <si>
    <t>Recordable_injuries</t>
  </si>
  <si>
    <t>LTIs</t>
  </si>
  <si>
    <t>Exposure_Hours</t>
  </si>
  <si>
    <t>TRIFR</t>
  </si>
  <si>
    <t>LTIFR</t>
  </si>
  <si>
    <t>TRIFR_LET_Demo</t>
  </si>
  <si>
    <t>Row Labels</t>
  </si>
  <si>
    <t>Grand Total</t>
  </si>
  <si>
    <t>Column Labels</t>
  </si>
  <si>
    <t>Count of Incident_ID</t>
  </si>
  <si>
    <t>Sum of Lost_Time_Days</t>
  </si>
  <si>
    <t>Sum of TRIFR_Contribution</t>
  </si>
  <si>
    <t>Sum of LTI_Flag</t>
  </si>
  <si>
    <t>HSE Performance Dashboard — 2022–2024</t>
  </si>
  <si>
    <t>TRIFR 2024</t>
  </si>
  <si>
    <t>LTIFR 2024</t>
  </si>
  <si>
    <t>Recordables 2024</t>
  </si>
  <si>
    <t>LTIs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</si>
</sst>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4"/>
      <color theme="1"/>
      <name val="Aptos Narrow"/>
      <family val="2"/>
      <scheme val="minor"/>
    </font>
    <font>
      <b/>
      <sz val="16"/>
      <color theme="1"/>
      <name val="Aptos Narrow"/>
      <family val="2"/>
      <scheme val="minor"/>
    </font>
    <font>
      <b/>
      <sz val="14"/>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3" fillId="0" borderId="0" xfId="0" applyFont="1" applyAlignment="1">
      <alignment horizontal="center"/>
    </xf>
    <xf numFmtId="0" fontId="2" fillId="0" borderId="0" xfId="0" applyFont="1"/>
    <xf numFmtId="0" fontId="4" fillId="0" borderId="1" xfId="0" applyFont="1" applyBorder="1" applyAlignment="1">
      <alignment horizontal="center"/>
    </xf>
    <xf numFmtId="0" fontId="1" fillId="0" borderId="1" xfId="0" applyFont="1" applyBorder="1" applyAlignment="1">
      <alignment horizontal="center"/>
    </xf>
  </cellXfs>
  <cellStyles count="1">
    <cellStyle name="Normal" xfId="0" builtinId="0"/>
  </cellStyles>
  <dxfs count="47">
    <dxf>
      <fill>
        <patternFill>
          <bgColor rgb="FF92D050"/>
        </patternFill>
      </fill>
    </dxf>
    <dxf>
      <font>
        <color rgb="FF9C0006"/>
      </font>
      <fill>
        <patternFill>
          <bgColor rgb="FFFFC7CE"/>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ont>
        <color rgb="FF9C0006"/>
      </font>
      <fill>
        <patternFill>
          <bgColor rgb="FFFFC7CE"/>
        </patternFill>
      </fill>
    </dxf>
    <dxf>
      <fill>
        <patternFill>
          <bgColor rgb="FF92D050"/>
        </patternFill>
      </fill>
    </dxf>
    <dxf>
      <fill>
        <patternFill>
          <bgColor rgb="FFFF0000"/>
        </patternFill>
      </fill>
    </dxf>
    <dxf>
      <fill>
        <patternFill>
          <bgColor rgb="FFFFFF00"/>
        </patternFill>
      </fill>
    </dxf>
    <dxf>
      <fill>
        <patternFill>
          <bgColor rgb="FF92D050"/>
        </patternFill>
      </fill>
    </dxf>
    <dxf>
      <font>
        <color rgb="FF9C0006"/>
      </font>
      <fill>
        <patternFill>
          <bgColor rgb="FFFFC7CE"/>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92D050"/>
        </patternFill>
      </fil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TRIFR by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'03_KPI_Summary'!$E$9</c:f>
              <c:strCache>
                <c:ptCount val="1"/>
                <c:pt idx="0">
                  <c:v>TRIFR</c:v>
                </c:pt>
              </c:strCache>
            </c:strRef>
          </c:tx>
          <c:spPr>
            <a:solidFill>
              <a:schemeClr val="accent1"/>
            </a:solidFill>
            <a:ln>
              <a:noFill/>
            </a:ln>
            <a:effectLst/>
          </c:spPr>
          <c:invertIfNegative val="0"/>
          <c:cat>
            <c:strRef>
              <c:f>'03_KPI_Summary'!$A$10:$A$14</c:f>
              <c:strCache>
                <c:ptCount val="5"/>
                <c:pt idx="0">
                  <c:v>Thunderbird Mine</c:v>
                </c:pt>
                <c:pt idx="1">
                  <c:v>Darwin Port Facility</c:v>
                </c:pt>
                <c:pt idx="2">
                  <c:v>Pilbara Crusher Plant</c:v>
                </c:pt>
                <c:pt idx="3">
                  <c:v>Broome Logistics Hub</c:v>
                </c:pt>
                <c:pt idx="4">
                  <c:v>Katherine Processing Site</c:v>
                </c:pt>
              </c:strCache>
            </c:strRef>
          </c:cat>
          <c:val>
            <c:numRef>
              <c:f>'03_KPI_Summary'!$E$10:$E$14</c:f>
              <c:numCache>
                <c:formatCode>General</c:formatCode>
                <c:ptCount val="5"/>
                <c:pt idx="0">
                  <c:v>8.77</c:v>
                </c:pt>
                <c:pt idx="1">
                  <c:v>8.15</c:v>
                </c:pt>
                <c:pt idx="2">
                  <c:v>10.16</c:v>
                </c:pt>
                <c:pt idx="3">
                  <c:v>7.68</c:v>
                </c:pt>
                <c:pt idx="4">
                  <c:v>7.09</c:v>
                </c:pt>
              </c:numCache>
            </c:numRef>
          </c:val>
          <c:extLst>
            <c:ext xmlns:c16="http://schemas.microsoft.com/office/drawing/2014/chart" uri="{C3380CC4-5D6E-409C-BE32-E72D297353CC}">
              <c16:uniqueId val="{00000000-B9E7-4773-8536-B4AF912FCFFD}"/>
            </c:ext>
          </c:extLst>
        </c:ser>
        <c:dLbls>
          <c:showLegendKey val="0"/>
          <c:showVal val="0"/>
          <c:showCatName val="0"/>
          <c:showSerName val="0"/>
          <c:showPercent val="0"/>
          <c:showBubbleSize val="0"/>
        </c:dLbls>
        <c:gapWidth val="219"/>
        <c:overlap val="-27"/>
        <c:axId val="1130019664"/>
        <c:axId val="1130020624"/>
      </c:barChart>
      <c:catAx>
        <c:axId val="113001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20624"/>
        <c:crosses val="autoZero"/>
        <c:auto val="1"/>
        <c:lblAlgn val="ctr"/>
        <c:lblOffset val="100"/>
        <c:noMultiLvlLbl val="0"/>
      </c:catAx>
      <c:valAx>
        <c:axId val="113002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1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TRIFR</a:t>
            </a:r>
            <a:r>
              <a:rPr lang="en-AU" baseline="0"/>
              <a:t> &amp; LTIFR Trend</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barChart>
        <c:barDir val="col"/>
        <c:grouping val="clustered"/>
        <c:varyColors val="0"/>
        <c:ser>
          <c:idx val="0"/>
          <c:order val="0"/>
          <c:tx>
            <c:strRef>
              <c:f>'03_KPI_Summary'!$E$3</c:f>
              <c:strCache>
                <c:ptCount val="1"/>
                <c:pt idx="0">
                  <c:v>TRIFR</c:v>
                </c:pt>
              </c:strCache>
            </c:strRef>
          </c:tx>
          <c:spPr>
            <a:solidFill>
              <a:schemeClr val="accent1"/>
            </a:solidFill>
            <a:ln>
              <a:noFill/>
            </a:ln>
            <a:effectLst/>
          </c:spPr>
          <c:invertIfNegative val="0"/>
          <c:cat>
            <c:numRef>
              <c:f>'03_KPI_Summary'!$A$4:$A$6</c:f>
              <c:numCache>
                <c:formatCode>General</c:formatCode>
                <c:ptCount val="3"/>
                <c:pt idx="0">
                  <c:v>2022</c:v>
                </c:pt>
                <c:pt idx="1">
                  <c:v>2023</c:v>
                </c:pt>
                <c:pt idx="2">
                  <c:v>2024</c:v>
                </c:pt>
              </c:numCache>
            </c:numRef>
          </c:cat>
          <c:val>
            <c:numRef>
              <c:f>'03_KPI_Summary'!$E$4:$E$6</c:f>
              <c:numCache>
                <c:formatCode>General</c:formatCode>
                <c:ptCount val="3"/>
                <c:pt idx="0">
                  <c:v>8.7799999999999994</c:v>
                </c:pt>
                <c:pt idx="1">
                  <c:v>8.93</c:v>
                </c:pt>
                <c:pt idx="2">
                  <c:v>6.73</c:v>
                </c:pt>
              </c:numCache>
            </c:numRef>
          </c:val>
          <c:extLst>
            <c:ext xmlns:c16="http://schemas.microsoft.com/office/drawing/2014/chart" uri="{C3380CC4-5D6E-409C-BE32-E72D297353CC}">
              <c16:uniqueId val="{00000000-9C6A-4F23-A442-011D658A7537}"/>
            </c:ext>
          </c:extLst>
        </c:ser>
        <c:ser>
          <c:idx val="1"/>
          <c:order val="1"/>
          <c:tx>
            <c:strRef>
              <c:f>'03_KPI_Summary'!$F$3</c:f>
              <c:strCache>
                <c:ptCount val="1"/>
                <c:pt idx="0">
                  <c:v>LTIFR</c:v>
                </c:pt>
              </c:strCache>
            </c:strRef>
          </c:tx>
          <c:spPr>
            <a:solidFill>
              <a:schemeClr val="accent2"/>
            </a:solidFill>
            <a:ln>
              <a:noFill/>
            </a:ln>
            <a:effectLst/>
          </c:spPr>
          <c:invertIfNegative val="0"/>
          <c:cat>
            <c:numRef>
              <c:f>'03_KPI_Summary'!$A$4:$A$6</c:f>
              <c:numCache>
                <c:formatCode>General</c:formatCode>
                <c:ptCount val="3"/>
                <c:pt idx="0">
                  <c:v>2022</c:v>
                </c:pt>
                <c:pt idx="1">
                  <c:v>2023</c:v>
                </c:pt>
                <c:pt idx="2">
                  <c:v>2024</c:v>
                </c:pt>
              </c:numCache>
            </c:numRef>
          </c:cat>
          <c:val>
            <c:numRef>
              <c:f>'03_KPI_Summary'!$F$4:$F$6</c:f>
              <c:numCache>
                <c:formatCode>General</c:formatCode>
                <c:ptCount val="3"/>
                <c:pt idx="0">
                  <c:v>3.96</c:v>
                </c:pt>
                <c:pt idx="1">
                  <c:v>5.08</c:v>
                </c:pt>
                <c:pt idx="2">
                  <c:v>1.68</c:v>
                </c:pt>
              </c:numCache>
            </c:numRef>
          </c:val>
          <c:extLst>
            <c:ext xmlns:c16="http://schemas.microsoft.com/office/drawing/2014/chart" uri="{C3380CC4-5D6E-409C-BE32-E72D297353CC}">
              <c16:uniqueId val="{00000001-9C6A-4F23-A442-011D658A7537}"/>
            </c:ext>
          </c:extLst>
        </c:ser>
        <c:dLbls>
          <c:showLegendKey val="0"/>
          <c:showVal val="0"/>
          <c:showCatName val="0"/>
          <c:showSerName val="0"/>
          <c:showPercent val="0"/>
          <c:showBubbleSize val="0"/>
        </c:dLbls>
        <c:gapWidth val="219"/>
        <c:overlap val="-27"/>
        <c:axId val="1202118208"/>
        <c:axId val="1202119168"/>
      </c:barChart>
      <c:catAx>
        <c:axId val="120211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119168"/>
        <c:crosses val="autoZero"/>
        <c:auto val="1"/>
        <c:lblAlgn val="ctr"/>
        <c:lblOffset val="100"/>
        <c:noMultiLvlLbl val="0"/>
      </c:catAx>
      <c:valAx>
        <c:axId val="120211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118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[tbl_Incidents.xlsx]04_Pivots!PivotTable1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'04_Pivots'!$B$3:$B$4</c:f>
              <c:strCache>
                <c:ptCount val="1"/>
                <c:pt idx="0">
                  <c:v>Broome Logistics Hub</c:v>
                </c:pt>
              </c:strCache>
            </c:strRef>
          </c:tx>
          <c:spPr>
            <a:solidFill>
              <a:schemeClr val="accent1"/>
            </a:solidFill>
            <a:ln>
              <a:noFill/>
            </a:ln>
            <a:effectLst/>
          </c:spPr>
          <c:invertIfNegative val="0"/>
          <c:cat>
            <c:strRef>
              <c:f>'04_Pivots'!$A$5:$A$12</c:f>
              <c:strCache>
                <c:ptCount val="7"/>
                <c:pt idx="0">
                  <c:v>Environmental</c:v>
                </c:pt>
                <c:pt idx="1">
                  <c:v>First Aid</c:v>
                </c:pt>
                <c:pt idx="2">
                  <c:v>Hazard Observation</c:v>
                </c:pt>
                <c:pt idx="3">
                  <c:v>Lost Time Injury</c:v>
                </c:pt>
                <c:pt idx="4">
                  <c:v>Medical Treatment</c:v>
                </c:pt>
                <c:pt idx="5">
                  <c:v>Near Miss</c:v>
                </c:pt>
                <c:pt idx="6">
                  <c:v>Property Damage</c:v>
                </c:pt>
              </c:strCache>
            </c:strRef>
          </c:cat>
          <c:val>
            <c:numRef>
              <c:f>'04_Pivots'!$B$5:$B$12</c:f>
              <c:numCache>
                <c:formatCode>General</c:formatCode>
                <c:ptCount val="7"/>
                <c:pt idx="0">
                  <c:v>16</c:v>
                </c:pt>
                <c:pt idx="1">
                  <c:v>17</c:v>
                </c:pt>
                <c:pt idx="2">
                  <c:v>13</c:v>
                </c:pt>
                <c:pt idx="3">
                  <c:v>8</c:v>
                </c:pt>
                <c:pt idx="4">
                  <c:v>15</c:v>
                </c:pt>
                <c:pt idx="5">
                  <c:v>17</c:v>
                </c:pt>
                <c:pt idx="6">
                  <c:v>16</c:v>
                </c:pt>
              </c:numCache>
            </c:numRef>
          </c:val>
          <c:extLst>
            <c:ext xmlns:c16="http://schemas.microsoft.com/office/drawing/2014/chart" uri="{C3380CC4-5D6E-409C-BE32-E72D297353CC}">
              <c16:uniqueId val="{00000000-02DB-44FC-B3C7-C0CDD4B67FB8}"/>
            </c:ext>
          </c:extLst>
        </c:ser>
        <c:ser>
          <c:idx val="1"/>
          <c:order val="1"/>
          <c:tx>
            <c:strRef>
              <c:f>'04_Pivots'!$C$3:$C$4</c:f>
              <c:strCache>
                <c:ptCount val="1"/>
                <c:pt idx="0">
                  <c:v>Darwin Port Facility</c:v>
                </c:pt>
              </c:strCache>
            </c:strRef>
          </c:tx>
          <c:spPr>
            <a:solidFill>
              <a:schemeClr val="accent2"/>
            </a:solidFill>
            <a:ln>
              <a:noFill/>
            </a:ln>
            <a:effectLst/>
          </c:spPr>
          <c:invertIfNegative val="0"/>
          <c:cat>
            <c:strRef>
              <c:f>'04_Pivots'!$A$5:$A$12</c:f>
              <c:strCache>
                <c:ptCount val="7"/>
                <c:pt idx="0">
                  <c:v>Environmental</c:v>
                </c:pt>
                <c:pt idx="1">
                  <c:v>First Aid</c:v>
                </c:pt>
                <c:pt idx="2">
                  <c:v>Hazard Observation</c:v>
                </c:pt>
                <c:pt idx="3">
                  <c:v>Lost Time Injury</c:v>
                </c:pt>
                <c:pt idx="4">
                  <c:v>Medical Treatment</c:v>
                </c:pt>
                <c:pt idx="5">
                  <c:v>Near Miss</c:v>
                </c:pt>
                <c:pt idx="6">
                  <c:v>Property Damage</c:v>
                </c:pt>
              </c:strCache>
            </c:strRef>
          </c:cat>
          <c:val>
            <c:numRef>
              <c:f>'04_Pivots'!$C$5:$C$12</c:f>
              <c:numCache>
                <c:formatCode>General</c:formatCode>
                <c:ptCount val="7"/>
                <c:pt idx="0">
                  <c:v>18</c:v>
                </c:pt>
                <c:pt idx="1">
                  <c:v>18</c:v>
                </c:pt>
                <c:pt idx="2">
                  <c:v>18</c:v>
                </c:pt>
                <c:pt idx="3">
                  <c:v>9</c:v>
                </c:pt>
                <c:pt idx="4">
                  <c:v>15</c:v>
                </c:pt>
                <c:pt idx="5">
                  <c:v>13</c:v>
                </c:pt>
                <c:pt idx="6">
                  <c:v>17</c:v>
                </c:pt>
              </c:numCache>
            </c:numRef>
          </c:val>
          <c:extLst>
            <c:ext xmlns:c16="http://schemas.microsoft.com/office/drawing/2014/chart" uri="{C3380CC4-5D6E-409C-BE32-E72D297353CC}">
              <c16:uniqueId val="{00000006-02DB-44FC-B3C7-C0CDD4B67FB8}"/>
            </c:ext>
          </c:extLst>
        </c:ser>
        <c:ser>
          <c:idx val="2"/>
          <c:order val="2"/>
          <c:tx>
            <c:strRef>
              <c:f>'04_Pivots'!$D$3:$D$4</c:f>
              <c:strCache>
                <c:ptCount val="1"/>
                <c:pt idx="0">
                  <c:v>Katherine Processing Site</c:v>
                </c:pt>
              </c:strCache>
            </c:strRef>
          </c:tx>
          <c:spPr>
            <a:solidFill>
              <a:schemeClr val="accent3"/>
            </a:solidFill>
            <a:ln>
              <a:noFill/>
            </a:ln>
            <a:effectLst/>
          </c:spPr>
          <c:invertIfNegative val="0"/>
          <c:cat>
            <c:strRef>
              <c:f>'04_Pivots'!$A$5:$A$12</c:f>
              <c:strCache>
                <c:ptCount val="7"/>
                <c:pt idx="0">
                  <c:v>Environmental</c:v>
                </c:pt>
                <c:pt idx="1">
                  <c:v>First Aid</c:v>
                </c:pt>
                <c:pt idx="2">
                  <c:v>Hazard Observation</c:v>
                </c:pt>
                <c:pt idx="3">
                  <c:v>Lost Time Injury</c:v>
                </c:pt>
                <c:pt idx="4">
                  <c:v>Medical Treatment</c:v>
                </c:pt>
                <c:pt idx="5">
                  <c:v>Near Miss</c:v>
                </c:pt>
                <c:pt idx="6">
                  <c:v>Property Damage</c:v>
                </c:pt>
              </c:strCache>
            </c:strRef>
          </c:cat>
          <c:val>
            <c:numRef>
              <c:f>'04_Pivots'!$D$5:$D$12</c:f>
              <c:numCache>
                <c:formatCode>General</c:formatCode>
                <c:ptCount val="7"/>
                <c:pt idx="0">
                  <c:v>20</c:v>
                </c:pt>
                <c:pt idx="1">
                  <c:v>15</c:v>
                </c:pt>
                <c:pt idx="2">
                  <c:v>8</c:v>
                </c:pt>
                <c:pt idx="3">
                  <c:v>13</c:v>
                </c:pt>
                <c:pt idx="4">
                  <c:v>5</c:v>
                </c:pt>
                <c:pt idx="5">
                  <c:v>9</c:v>
                </c:pt>
                <c:pt idx="6">
                  <c:v>8</c:v>
                </c:pt>
              </c:numCache>
            </c:numRef>
          </c:val>
          <c:extLst>
            <c:ext xmlns:c16="http://schemas.microsoft.com/office/drawing/2014/chart" uri="{C3380CC4-5D6E-409C-BE32-E72D297353CC}">
              <c16:uniqueId val="{00000007-02DB-44FC-B3C7-C0CDD4B67FB8}"/>
            </c:ext>
          </c:extLst>
        </c:ser>
        <c:ser>
          <c:idx val="3"/>
          <c:order val="3"/>
          <c:tx>
            <c:strRef>
              <c:f>'04_Pivots'!$E$3:$E$4</c:f>
              <c:strCache>
                <c:ptCount val="1"/>
                <c:pt idx="0">
                  <c:v>Pilbara Crusher Plant</c:v>
                </c:pt>
              </c:strCache>
            </c:strRef>
          </c:tx>
          <c:spPr>
            <a:solidFill>
              <a:schemeClr val="accent4"/>
            </a:solidFill>
            <a:ln>
              <a:noFill/>
            </a:ln>
            <a:effectLst/>
          </c:spPr>
          <c:invertIfNegative val="0"/>
          <c:cat>
            <c:strRef>
              <c:f>'04_Pivots'!$A$5:$A$12</c:f>
              <c:strCache>
                <c:ptCount val="7"/>
                <c:pt idx="0">
                  <c:v>Environmental</c:v>
                </c:pt>
                <c:pt idx="1">
                  <c:v>First Aid</c:v>
                </c:pt>
                <c:pt idx="2">
                  <c:v>Hazard Observation</c:v>
                </c:pt>
                <c:pt idx="3">
                  <c:v>Lost Time Injury</c:v>
                </c:pt>
                <c:pt idx="4">
                  <c:v>Medical Treatment</c:v>
                </c:pt>
                <c:pt idx="5">
                  <c:v>Near Miss</c:v>
                </c:pt>
                <c:pt idx="6">
                  <c:v>Property Damage</c:v>
                </c:pt>
              </c:strCache>
            </c:strRef>
          </c:cat>
          <c:val>
            <c:numRef>
              <c:f>'04_Pivots'!$E$5:$E$12</c:f>
              <c:numCache>
                <c:formatCode>General</c:formatCode>
                <c:ptCount val="7"/>
                <c:pt idx="0">
                  <c:v>17</c:v>
                </c:pt>
                <c:pt idx="1">
                  <c:v>14</c:v>
                </c:pt>
                <c:pt idx="2">
                  <c:v>20</c:v>
                </c:pt>
                <c:pt idx="3">
                  <c:v>13</c:v>
                </c:pt>
                <c:pt idx="4">
                  <c:v>18</c:v>
                </c:pt>
                <c:pt idx="5">
                  <c:v>17</c:v>
                </c:pt>
                <c:pt idx="6">
                  <c:v>15</c:v>
                </c:pt>
              </c:numCache>
            </c:numRef>
          </c:val>
          <c:extLst>
            <c:ext xmlns:c16="http://schemas.microsoft.com/office/drawing/2014/chart" uri="{C3380CC4-5D6E-409C-BE32-E72D297353CC}">
              <c16:uniqueId val="{00000008-02DB-44FC-B3C7-C0CDD4B67FB8}"/>
            </c:ext>
          </c:extLst>
        </c:ser>
        <c:ser>
          <c:idx val="4"/>
          <c:order val="4"/>
          <c:tx>
            <c:strRef>
              <c:f>'04_Pivots'!$F$3:$F$4</c:f>
              <c:strCache>
                <c:ptCount val="1"/>
                <c:pt idx="0">
                  <c:v>Thunderbird Mine</c:v>
                </c:pt>
              </c:strCache>
            </c:strRef>
          </c:tx>
          <c:spPr>
            <a:solidFill>
              <a:schemeClr val="accent5"/>
            </a:solidFill>
            <a:ln>
              <a:noFill/>
            </a:ln>
            <a:effectLst/>
          </c:spPr>
          <c:invertIfNegative val="0"/>
          <c:cat>
            <c:strRef>
              <c:f>'04_Pivots'!$A$5:$A$12</c:f>
              <c:strCache>
                <c:ptCount val="7"/>
                <c:pt idx="0">
                  <c:v>Environmental</c:v>
                </c:pt>
                <c:pt idx="1">
                  <c:v>First Aid</c:v>
                </c:pt>
                <c:pt idx="2">
                  <c:v>Hazard Observation</c:v>
                </c:pt>
                <c:pt idx="3">
                  <c:v>Lost Time Injury</c:v>
                </c:pt>
                <c:pt idx="4">
                  <c:v>Medical Treatment</c:v>
                </c:pt>
                <c:pt idx="5">
                  <c:v>Near Miss</c:v>
                </c:pt>
                <c:pt idx="6">
                  <c:v>Property Damage</c:v>
                </c:pt>
              </c:strCache>
            </c:strRef>
          </c:cat>
          <c:val>
            <c:numRef>
              <c:f>'04_Pivots'!$F$5:$F$12</c:f>
              <c:numCache>
                <c:formatCode>General</c:formatCode>
                <c:ptCount val="7"/>
                <c:pt idx="0">
                  <c:v>14</c:v>
                </c:pt>
                <c:pt idx="1">
                  <c:v>12</c:v>
                </c:pt>
                <c:pt idx="2">
                  <c:v>16</c:v>
                </c:pt>
                <c:pt idx="3">
                  <c:v>14</c:v>
                </c:pt>
                <c:pt idx="4">
                  <c:v>12</c:v>
                </c:pt>
                <c:pt idx="5">
                  <c:v>18</c:v>
                </c:pt>
                <c:pt idx="6">
                  <c:v>12</c:v>
                </c:pt>
              </c:numCache>
            </c:numRef>
          </c:val>
          <c:extLst>
            <c:ext xmlns:c16="http://schemas.microsoft.com/office/drawing/2014/chart" uri="{C3380CC4-5D6E-409C-BE32-E72D297353CC}">
              <c16:uniqueId val="{00000009-02DB-44FC-B3C7-C0CDD4B67FB8}"/>
            </c:ext>
          </c:extLst>
        </c:ser>
        <c:dLbls>
          <c:showLegendKey val="0"/>
          <c:showVal val="0"/>
          <c:showCatName val="0"/>
          <c:showSerName val="0"/>
          <c:showPercent val="0"/>
          <c:showBubbleSize val="0"/>
        </c:dLbls>
        <c:gapWidth val="219"/>
        <c:overlap val="-27"/>
        <c:axId val="1196665952"/>
        <c:axId val="1196664512"/>
      </c:barChart>
      <c:catAx>
        <c:axId val="11966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664512"/>
        <c:crosses val="autoZero"/>
        <c:auto val="1"/>
        <c:lblAlgn val="ctr"/>
        <c:lblOffset val="100"/>
        <c:noMultiLvlLbl val="0"/>
      </c:catAx>
      <c:valAx>
        <c:axId val="119666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66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171450</xdr:rowOff>
    </xdr:from>
    <xdr:to>
      <xdr:col>7</xdr:col>
      <xdr:colOff>304800</xdr:colOff>
      <xdr:row>20</xdr:row>
      <xdr:rowOff>15875</xdr:rowOff>
    </xdr:to>
    <xdr:graphicFrame macro="">
      <xdr:nvGraphicFramePr>
        <xdr:cNvPr id="3" name="Chart 2">
          <a:extLst>
            <a:ext uri="{FF2B5EF4-FFF2-40B4-BE49-F238E27FC236}">
              <a16:creationId xmlns:a16="http://schemas.microsoft.com/office/drawing/2014/main" id="{6E867DE6-5E06-4FC3-BEC1-A13A7E5A8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4</xdr:row>
      <xdr:rowOff>161925</xdr:rowOff>
    </xdr:from>
    <xdr:to>
      <xdr:col>15</xdr:col>
      <xdr:colOff>19050</xdr:colOff>
      <xdr:row>20</xdr:row>
      <xdr:rowOff>9525</xdr:rowOff>
    </xdr:to>
    <xdr:graphicFrame macro="">
      <xdr:nvGraphicFramePr>
        <xdr:cNvPr id="5" name="Chart 4">
          <a:extLst>
            <a:ext uri="{FF2B5EF4-FFF2-40B4-BE49-F238E27FC236}">
              <a16:creationId xmlns:a16="http://schemas.microsoft.com/office/drawing/2014/main" id="{888CAEE8-D3C9-471F-B2DF-A0F534A89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466725</xdr:colOff>
      <xdr:row>20</xdr:row>
      <xdr:rowOff>34925</xdr:rowOff>
    </xdr:from>
    <xdr:to>
      <xdr:col>15</xdr:col>
      <xdr:colOff>38100</xdr:colOff>
      <xdr:row>26</xdr:row>
      <xdr:rowOff>171450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7F205D20-D0DC-4772-B993-D2D00A8647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169150" y="3797300"/>
              <a:ext cx="2012950" cy="12223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485774</xdr:colOff>
      <xdr:row>27</xdr:row>
      <xdr:rowOff>19050</xdr:rowOff>
    </xdr:from>
    <xdr:to>
      <xdr:col>15</xdr:col>
      <xdr:colOff>12699</xdr:colOff>
      <xdr:row>38</xdr:row>
      <xdr:rowOff>171450</xdr:rowOff>
    </xdr:to>
    <mc:AlternateContent xmlns:mc="http://schemas.openxmlformats.org/markup-compatibility/2006">
      <mc:Choice xmlns:a14="http://schemas.microsoft.com/office/drawing/2010/main" Requires="a14">
        <xdr:graphicFrame macro="">
          <xdr:nvGraphicFramePr>
            <xdr:cNvPr id="8" name="Site">
              <a:extLst>
                <a:ext uri="{FF2B5EF4-FFF2-40B4-BE49-F238E27FC236}">
                  <a16:creationId xmlns:a16="http://schemas.microsoft.com/office/drawing/2014/main" id="{549A34E1-CF2A-4B13-B0D1-84906ABB5394}"/>
                </a:ext>
              </a:extLst>
            </xdr:cNvPr>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dr:sp macro="" textlink="">
          <xdr:nvSpPr>
            <xdr:cNvPr id="0" name=""/>
            <xdr:cNvSpPr>
              <a:spLocks noTextEdit="1"/>
            </xdr:cNvSpPr>
          </xdr:nvSpPr>
          <xdr:spPr>
            <a:xfrm>
              <a:off x="7194549" y="5048250"/>
              <a:ext cx="1958975" cy="2143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0</xdr:rowOff>
    </xdr:from>
    <xdr:to>
      <xdr:col>11</xdr:col>
      <xdr:colOff>428624</xdr:colOff>
      <xdr:row>39</xdr:row>
      <xdr:rowOff>0</xdr:rowOff>
    </xdr:to>
    <xdr:graphicFrame macro="">
      <xdr:nvGraphicFramePr>
        <xdr:cNvPr id="9" name="Chart 8">
          <a:extLst>
            <a:ext uri="{FF2B5EF4-FFF2-40B4-BE49-F238E27FC236}">
              <a16:creationId xmlns:a16="http://schemas.microsoft.com/office/drawing/2014/main" id="{01B5A81A-7F21-4C22-B82C-8DF1779A7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Yates" refreshedDate="46207.569986574075" createdVersion="8" refreshedVersion="8" minRefreshableVersion="3" recordCount="500" xr:uid="{55409ACA-2596-4BE7-B78D-44777CC2DEB2}">
  <cacheSource type="worksheet">
    <worksheetSource name="tbl_Incidents"/>
  </cacheSource>
  <cacheFields count="27">
    <cacheField name="Incident_ID" numFmtId="0">
      <sharedItems/>
    </cacheField>
    <cacheField name="Date" numFmtId="14">
      <sharedItems containsSemiMixedTypes="0" containsNonDate="0" containsDate="1" containsString="0" minDate="2022-01-01T00:00:00" maxDate="2024-06-18T00:00:00"/>
    </cacheField>
    <cacheField name="Year" numFmtId="0">
      <sharedItems containsSemiMixedTypes="0" containsString="0" containsNumber="1" containsInteger="1" minValue="2022" maxValue="2024" count="3">
        <n v="2023"/>
        <n v="2022"/>
        <n v="2024"/>
      </sharedItems>
    </cacheField>
    <cacheField name="Month" numFmtId="0">
      <sharedItems containsSemiMixedTypes="0" containsString="0" containsNumber="1" containsInteger="1" minValue="1" maxValue="12"/>
    </cacheField>
    <cacheField name="Month_Name" numFmtId="0">
      <sharedItems/>
    </cacheField>
    <cacheField name="Quarter" numFmtId="0">
      <sharedItems/>
    </cacheField>
    <cacheField name="Site" numFmtId="0">
      <sharedItems count="5">
        <s v="Thunderbird Mine"/>
        <s v="Darwin Port Facility"/>
        <s v="Pilbara Crusher Plant"/>
        <s v="Broome Logistics Hub"/>
        <s v="Katherine Processing Site"/>
      </sharedItems>
    </cacheField>
    <cacheField name="Department" numFmtId="0">
      <sharedItems/>
    </cacheField>
    <cacheField name="Incident_Type" numFmtId="0">
      <sharedItems count="7">
        <s v="Near Miss"/>
        <s v="First Aid"/>
        <s v="Hazard Observation"/>
        <s v="Medical Treatment"/>
        <s v="Environmental"/>
        <s v="Property Damage"/>
        <s v="Lost Time Injury"/>
      </sharedItems>
    </cacheField>
    <cacheField name="Classification" numFmtId="0">
      <sharedItems/>
    </cacheField>
    <cacheField name="Body_Part_Affected" numFmtId="0">
      <sharedItems/>
    </cacheField>
    <cacheField name="Primary_Cause" numFmtId="0">
      <sharedItems count="10">
        <s v="Contact with Chemical"/>
        <s v="Struck By Object"/>
        <s v="Tool Misuse"/>
        <s v="Manual Handling"/>
        <s v="Vehicle Interaction"/>
        <s v="Environmental Exposure"/>
        <s v="Slip/Trip/Fall"/>
        <s v="Procedural Non-Compliance"/>
        <s v="Caught In/Between"/>
        <s v="Fatigue"/>
      </sharedItems>
    </cacheField>
    <cacheField name="Shift" numFmtId="0">
      <sharedItems/>
    </cacheField>
    <cacheField name="Lost_Time_Days" numFmtId="0">
      <sharedItems containsSemiMixedTypes="0" containsString="0" containsNumber="1" containsInteger="1" minValue="0" maxValue="30"/>
    </cacheField>
    <cacheField name="Weather_Conditions" numFmtId="0">
      <sharedItems/>
    </cacheField>
    <cacheField name="Employment_Type" numFmtId="0">
      <sharedItems count="3">
        <s v="Direct Employee"/>
        <s v="Labour Hire"/>
        <s v="Contractor"/>
      </sharedItems>
    </cacheField>
    <cacheField name="Investigator" numFmtId="0">
      <sharedItems/>
    </cacheField>
    <cacheField name="Investigation_Status" numFmtId="0">
      <sharedItems/>
    </cacheField>
    <cacheField name="Corrective_Action_Status" numFmtId="0">
      <sharedItems/>
    </cacheField>
    <cacheField name="Hours_Worked_That_Day" numFmtId="0">
      <sharedItems containsSemiMixedTypes="0" containsString="0" containsNumber="1" containsInteger="1" minValue="8" maxValue="12"/>
    </cacheField>
    <cacheField name="Total_Site_Hours_Month" numFmtId="0">
      <sharedItems containsSemiMixedTypes="0" containsString="0" containsNumber="1" containsInteger="1" minValue="40287" maxValue="119807"/>
    </cacheField>
    <cacheField name="TRIFR_Contribution" numFmtId="0">
      <sharedItems containsSemiMixedTypes="0" containsString="0" containsNumber="1" containsInteger="1" minValue="0" maxValue="1"/>
    </cacheField>
    <cacheField name="Fatality" numFmtId="0">
      <sharedItems containsSemiMixedTypes="0" containsString="0" containsNumber="1" containsInteger="1" minValue="0" maxValue="0"/>
    </cacheField>
    <cacheField name="High_Potential_Incident" numFmtId="0">
      <sharedItems containsSemiMixedTypes="0" containsString="0" containsNumber="1" containsInteger="1" minValue="0" maxValue="1"/>
    </cacheField>
    <cacheField name="LTI_Flag" numFmtId="0">
      <sharedItems containsSemiMixedTypes="0" containsString="0" containsNumber="1" containsInteger="1" minValue="0" maxValue="1"/>
    </cacheField>
    <cacheField name="Month_Key" numFmtId="14">
      <sharedItems containsSemiMixedTypes="0" containsNonDate="0" containsDate="1" containsString="0" minDate="2022-01-01T00:00:00" maxDate="2024-06-02T00:00:00"/>
    </cacheField>
    <cacheField name="Site_Month_Key" numFmtId="0">
      <sharedItems/>
    </cacheField>
  </cacheFields>
  <extLst>
    <ext xmlns:x14="http://schemas.microsoft.com/office/spreadsheetml/2009/9/main" uri="{725AE2AE-9491-48be-B2B4-4EB974FC3084}">
      <x14:pivotCacheDefinition pivotCacheId="1966675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C-0001"/>
    <d v="2023-10-17T00:00:00"/>
    <x v="0"/>
    <n v="10"/>
    <s v="October"/>
    <s v="Q4"/>
    <x v="0"/>
    <s v="Administration"/>
    <x v="0"/>
    <s v="Non-Recordable"/>
    <s v="Nil (No Injury)"/>
    <x v="0"/>
    <s v="Day"/>
    <n v="0"/>
    <s v="Clear"/>
    <x v="0"/>
    <s v="Jo Smith"/>
    <s v="In Progress"/>
    <s v="Complete"/>
    <n v="12"/>
    <n v="95302"/>
    <n v="0"/>
    <n v="0"/>
    <n v="0"/>
    <n v="0"/>
    <d v="2023-10-01T00:00:00"/>
    <s v="Thunderbird Mine|2023-10"/>
  </r>
  <r>
    <s v="INC-0002"/>
    <d v="2022-04-06T00:00:00"/>
    <x v="1"/>
    <n v="4"/>
    <s v="April"/>
    <s v="Q2"/>
    <x v="1"/>
    <s v="Construction"/>
    <x v="1"/>
    <s v="Non-Recordable"/>
    <s v="Nil (No Injury)"/>
    <x v="1"/>
    <s v="Afternoon"/>
    <n v="0"/>
    <s v="Clear"/>
    <x v="1"/>
    <s v="Mark Daniels"/>
    <s v="Open"/>
    <s v="Pending"/>
    <n v="10"/>
    <n v="40851"/>
    <n v="0"/>
    <n v="0"/>
    <n v="0"/>
    <n v="0"/>
    <d v="2022-04-01T00:00:00"/>
    <s v="Darwin Port Facility|2022-04"/>
  </r>
  <r>
    <s v="INC-0003"/>
    <d v="2024-02-17T00:00:00"/>
    <x v="2"/>
    <n v="2"/>
    <s v="February"/>
    <s v="Q1"/>
    <x v="1"/>
    <s v="Administration"/>
    <x v="2"/>
    <s v="Non-Recordable"/>
    <s v="Nil (No Injury)"/>
    <x v="2"/>
    <s v="Night"/>
    <n v="0"/>
    <s v="Clear"/>
    <x v="0"/>
    <s v="Mark Daniels"/>
    <s v="Closed"/>
    <s v="Complete"/>
    <n v="8"/>
    <n v="89797"/>
    <n v="0"/>
    <n v="0"/>
    <n v="0"/>
    <n v="0"/>
    <d v="2024-02-01T00:00:00"/>
    <s v="Darwin Port Facility|2024-02"/>
  </r>
  <r>
    <s v="INC-0004"/>
    <d v="2022-04-10T00:00:00"/>
    <x v="1"/>
    <n v="4"/>
    <s v="April"/>
    <s v="Q2"/>
    <x v="2"/>
    <s v="Construction"/>
    <x v="3"/>
    <s v="Recordable"/>
    <s v="Head"/>
    <x v="1"/>
    <s v="Afternoon"/>
    <n v="0"/>
    <s v="Rain"/>
    <x v="0"/>
    <s v="David Torres"/>
    <s v="Closed"/>
    <s v="Pending"/>
    <n v="10"/>
    <n v="87400"/>
    <n v="1"/>
    <n v="0"/>
    <n v="0"/>
    <n v="0"/>
    <d v="2022-04-01T00:00:00"/>
    <s v="Pilbara Crusher Plant|2022-04"/>
  </r>
  <r>
    <s v="INC-0005"/>
    <d v="2023-08-15T00:00:00"/>
    <x v="0"/>
    <n v="8"/>
    <s v="August"/>
    <s v="Q3"/>
    <x v="0"/>
    <s v="Mining Operations"/>
    <x v="1"/>
    <s v="Non-Recordable"/>
    <s v="Eye"/>
    <x v="0"/>
    <s v="Day"/>
    <n v="0"/>
    <s v="Overcast"/>
    <x v="0"/>
    <s v="Jo Smith"/>
    <s v="Open"/>
    <s v="Complete"/>
    <n v="11"/>
    <n v="87819"/>
    <n v="0"/>
    <n v="0"/>
    <n v="0"/>
    <n v="0"/>
    <d v="2023-08-01T00:00:00"/>
    <s v="Thunderbird Mine|2023-08"/>
  </r>
  <r>
    <s v="INC-0006"/>
    <d v="2022-06-16T00:00:00"/>
    <x v="1"/>
    <n v="6"/>
    <s v="June"/>
    <s v="Q2"/>
    <x v="2"/>
    <s v="Maintenance"/>
    <x v="3"/>
    <s v="Recordable"/>
    <s v="Head"/>
    <x v="3"/>
    <s v="Afternoon"/>
    <n v="0"/>
    <s v="Wind"/>
    <x v="0"/>
    <s v="Priya Nair"/>
    <s v="Closed"/>
    <s v="Complete"/>
    <n v="11"/>
    <n v="89735"/>
    <n v="1"/>
    <n v="0"/>
    <n v="0"/>
    <n v="0"/>
    <d v="2022-06-01T00:00:00"/>
    <s v="Pilbara Crusher Plant|2022-06"/>
  </r>
  <r>
    <s v="INC-0007"/>
    <d v="2022-10-04T00:00:00"/>
    <x v="1"/>
    <n v="10"/>
    <s v="October"/>
    <s v="Q4"/>
    <x v="3"/>
    <s v="Maintenance"/>
    <x v="4"/>
    <s v="Non-Recordable"/>
    <s v="Nil (No Injury)"/>
    <x v="4"/>
    <s v="Day"/>
    <n v="0"/>
    <s v="Clear"/>
    <x v="0"/>
    <s v="Sarah Chen"/>
    <s v="Open"/>
    <s v="Complete"/>
    <n v="8"/>
    <n v="67653"/>
    <n v="0"/>
    <n v="0"/>
    <n v="0"/>
    <n v="0"/>
    <d v="2022-10-01T00:00:00"/>
    <s v="Broome Logistics Hub|2022-10"/>
  </r>
  <r>
    <s v="INC-0008"/>
    <d v="2023-08-04T00:00:00"/>
    <x v="0"/>
    <n v="8"/>
    <s v="August"/>
    <s v="Q3"/>
    <x v="2"/>
    <s v="Maintenance"/>
    <x v="4"/>
    <s v="Non-Recordable"/>
    <s v="Nil (No Injury)"/>
    <x v="5"/>
    <s v="Night"/>
    <n v="0"/>
    <s v="Wind"/>
    <x v="1"/>
    <s v="Mark Daniels"/>
    <s v="Closed"/>
    <s v="Complete"/>
    <n v="9"/>
    <n v="113579"/>
    <n v="0"/>
    <n v="0"/>
    <n v="0"/>
    <n v="0"/>
    <d v="2023-08-01T00:00:00"/>
    <s v="Pilbara Crusher Plant|2023-08"/>
  </r>
  <r>
    <s v="INC-0009"/>
    <d v="2023-07-06T00:00:00"/>
    <x v="0"/>
    <n v="7"/>
    <s v="July"/>
    <s v="Q3"/>
    <x v="3"/>
    <s v="Processing"/>
    <x v="3"/>
    <s v="Recordable"/>
    <s v="Nil (No Injury)"/>
    <x v="2"/>
    <s v="Night"/>
    <n v="0"/>
    <s v="Clear"/>
    <x v="0"/>
    <s v="Priya Nair"/>
    <s v="Open"/>
    <s v="Complete"/>
    <n v="8"/>
    <n v="54371"/>
    <n v="1"/>
    <n v="0"/>
    <n v="0"/>
    <n v="0"/>
    <d v="2023-07-01T00:00:00"/>
    <s v="Broome Logistics Hub|2023-07"/>
  </r>
  <r>
    <s v="INC-0010"/>
    <d v="2022-06-06T00:00:00"/>
    <x v="1"/>
    <n v="6"/>
    <s v="June"/>
    <s v="Q2"/>
    <x v="1"/>
    <s v="Administration"/>
    <x v="4"/>
    <s v="Non-Recordable"/>
    <s v="Nil (No Injury)"/>
    <x v="2"/>
    <s v="Afternoon"/>
    <n v="0"/>
    <s v="Clear"/>
    <x v="1"/>
    <s v="David Torres"/>
    <s v="In Progress"/>
    <s v="Overdue"/>
    <n v="12"/>
    <n v="72953"/>
    <n v="0"/>
    <n v="0"/>
    <n v="0"/>
    <n v="0"/>
    <d v="2022-06-01T00:00:00"/>
    <s v="Darwin Port Facility|2022-06"/>
  </r>
  <r>
    <s v="INC-0011"/>
    <d v="2023-07-21T00:00:00"/>
    <x v="0"/>
    <n v="7"/>
    <s v="July"/>
    <s v="Q3"/>
    <x v="0"/>
    <s v="Administration"/>
    <x v="2"/>
    <s v="Non-Recordable"/>
    <s v="Nil (No Injury)"/>
    <x v="3"/>
    <s v="Afternoon"/>
    <n v="0"/>
    <s v="Extreme Heat"/>
    <x v="2"/>
    <s v="Sarah Chen"/>
    <s v="Closed"/>
    <s v="Complete"/>
    <n v="11"/>
    <n v="60730"/>
    <n v="0"/>
    <n v="0"/>
    <n v="0"/>
    <n v="0"/>
    <d v="2023-07-01T00:00:00"/>
    <s v="Thunderbird Mine|2023-07"/>
  </r>
  <r>
    <s v="INC-0012"/>
    <d v="2023-04-10T00:00:00"/>
    <x v="0"/>
    <n v="4"/>
    <s v="April"/>
    <s v="Q2"/>
    <x v="2"/>
    <s v="Construction"/>
    <x v="0"/>
    <s v="Non-Recordable"/>
    <s v="Nil (No Injury)"/>
    <x v="6"/>
    <s v="Afternoon"/>
    <n v="0"/>
    <s v="Clear"/>
    <x v="2"/>
    <s v="Priya Nair"/>
    <s v="In Progress"/>
    <s v="Complete"/>
    <n v="9"/>
    <n v="89009"/>
    <n v="0"/>
    <n v="0"/>
    <n v="1"/>
    <n v="0"/>
    <d v="2023-04-01T00:00:00"/>
    <s v="Pilbara Crusher Plant|2023-04"/>
  </r>
  <r>
    <s v="INC-0013"/>
    <d v="2023-07-07T00:00:00"/>
    <x v="0"/>
    <n v="7"/>
    <s v="July"/>
    <s v="Q3"/>
    <x v="3"/>
    <s v="Mining Operations"/>
    <x v="2"/>
    <s v="Non-Recordable"/>
    <s v="Nil (No Injury)"/>
    <x v="7"/>
    <s v="Night"/>
    <n v="0"/>
    <s v="Rain"/>
    <x v="0"/>
    <s v="Jo Smith"/>
    <s v="Closed"/>
    <s v="Complete"/>
    <n v="9"/>
    <n v="47592"/>
    <n v="0"/>
    <n v="0"/>
    <n v="0"/>
    <n v="0"/>
    <d v="2023-07-01T00:00:00"/>
    <s v="Broome Logistics Hub|2023-07"/>
  </r>
  <r>
    <s v="INC-0014"/>
    <d v="2022-09-04T00:00:00"/>
    <x v="1"/>
    <n v="9"/>
    <s v="September"/>
    <s v="Q3"/>
    <x v="0"/>
    <s v="Mining Operations"/>
    <x v="5"/>
    <s v="Non-Recordable"/>
    <s v="Nil (No Injury)"/>
    <x v="5"/>
    <s v="Day"/>
    <n v="0"/>
    <s v="Overcast"/>
    <x v="0"/>
    <s v="Mark Daniels"/>
    <s v="Open"/>
    <s v="Pending"/>
    <n v="9"/>
    <n v="74741"/>
    <n v="0"/>
    <n v="0"/>
    <n v="0"/>
    <n v="0"/>
    <d v="2022-09-01T00:00:00"/>
    <s v="Thunderbird Mine|2022-09"/>
  </r>
  <r>
    <s v="INC-0015"/>
    <d v="2023-06-25T00:00:00"/>
    <x v="0"/>
    <n v="6"/>
    <s v="June"/>
    <s v="Q2"/>
    <x v="3"/>
    <s v="Processing"/>
    <x v="2"/>
    <s v="Non-Recordable"/>
    <s v="Nil (No Injury)"/>
    <x v="8"/>
    <s v="Afternoon"/>
    <n v="0"/>
    <s v="Overcast"/>
    <x v="0"/>
    <s v="Sarah Chen"/>
    <s v="Open"/>
    <s v="Complete"/>
    <n v="11"/>
    <n v="107839"/>
    <n v="0"/>
    <n v="0"/>
    <n v="0"/>
    <n v="0"/>
    <d v="2023-06-01T00:00:00"/>
    <s v="Broome Logistics Hub|2023-06"/>
  </r>
  <r>
    <s v="INC-0016"/>
    <d v="2023-04-08T00:00:00"/>
    <x v="0"/>
    <n v="4"/>
    <s v="April"/>
    <s v="Q2"/>
    <x v="1"/>
    <s v="Maintenance"/>
    <x v="0"/>
    <s v="Non-Recordable"/>
    <s v="Nil (No Injury)"/>
    <x v="3"/>
    <s v="Night"/>
    <n v="0"/>
    <s v="Clear"/>
    <x v="0"/>
    <s v="Priya Nair"/>
    <s v="Closed"/>
    <s v="Complete"/>
    <n v="8"/>
    <n v="47716"/>
    <n v="0"/>
    <n v="0"/>
    <n v="0"/>
    <n v="0"/>
    <d v="2023-04-01T00:00:00"/>
    <s v="Darwin Port Facility|2023-04"/>
  </r>
  <r>
    <s v="INC-0017"/>
    <d v="2022-02-02T00:00:00"/>
    <x v="1"/>
    <n v="2"/>
    <s v="February"/>
    <s v="Q1"/>
    <x v="2"/>
    <s v="Mining Operations"/>
    <x v="2"/>
    <s v="Non-Recordable"/>
    <s v="Nil (No Injury)"/>
    <x v="9"/>
    <s v="Day"/>
    <n v="0"/>
    <s v="Clear"/>
    <x v="1"/>
    <s v="Mark Daniels"/>
    <s v="In Progress"/>
    <s v="Complete"/>
    <n v="12"/>
    <n v="115525"/>
    <n v="0"/>
    <n v="0"/>
    <n v="0"/>
    <n v="0"/>
    <d v="2022-02-01T00:00:00"/>
    <s v="Pilbara Crusher Plant|2022-02"/>
  </r>
  <r>
    <s v="INC-0018"/>
    <d v="2023-04-30T00:00:00"/>
    <x v="0"/>
    <n v="4"/>
    <s v="April"/>
    <s v="Q2"/>
    <x v="4"/>
    <s v="Processing"/>
    <x v="1"/>
    <s v="Non-Recordable"/>
    <s v="Eye"/>
    <x v="3"/>
    <s v="Day"/>
    <n v="0"/>
    <s v="Wind"/>
    <x v="1"/>
    <s v="Sarah Chen"/>
    <s v="Open"/>
    <s v="Overdue"/>
    <n v="11"/>
    <n v="47100"/>
    <n v="0"/>
    <n v="0"/>
    <n v="0"/>
    <n v="0"/>
    <d v="2023-04-01T00:00:00"/>
    <s v="Katherine Processing Site|2023-04"/>
  </r>
  <r>
    <s v="INC-0019"/>
    <d v="2023-11-21T00:00:00"/>
    <x v="0"/>
    <n v="11"/>
    <s v="November"/>
    <s v="Q4"/>
    <x v="0"/>
    <s v="Mining Operations"/>
    <x v="4"/>
    <s v="Non-Recordable"/>
    <s v="Nil (No Injury)"/>
    <x v="2"/>
    <s v="Afternoon"/>
    <n v="0"/>
    <s v="Clear"/>
    <x v="0"/>
    <s v="Mark Daniels"/>
    <s v="Closed"/>
    <s v="Complete"/>
    <n v="12"/>
    <n v="98800"/>
    <n v="0"/>
    <n v="0"/>
    <n v="0"/>
    <n v="0"/>
    <d v="2023-11-01T00:00:00"/>
    <s v="Thunderbird Mine|2023-11"/>
  </r>
  <r>
    <s v="INC-0020"/>
    <d v="2022-05-24T00:00:00"/>
    <x v="1"/>
    <n v="5"/>
    <s v="May"/>
    <s v="Q2"/>
    <x v="2"/>
    <s v="Processing"/>
    <x v="6"/>
    <s v="Recordable"/>
    <s v="Eye"/>
    <x v="3"/>
    <s v="Night"/>
    <n v="6"/>
    <s v="Overcast"/>
    <x v="0"/>
    <s v="Jo Smith"/>
    <s v="In Progress"/>
    <s v="Complete"/>
    <n v="8"/>
    <n v="70982"/>
    <n v="1"/>
    <n v="0"/>
    <n v="0"/>
    <n v="1"/>
    <d v="2022-05-01T00:00:00"/>
    <s v="Pilbara Crusher Plant|2022-05"/>
  </r>
  <r>
    <s v="INC-0021"/>
    <d v="2023-05-13T00:00:00"/>
    <x v="0"/>
    <n v="5"/>
    <s v="May"/>
    <s v="Q2"/>
    <x v="4"/>
    <s v="Mining Operations"/>
    <x v="6"/>
    <s v="Recordable"/>
    <s v="Foot/Ankle"/>
    <x v="2"/>
    <s v="Day"/>
    <n v="7"/>
    <s v="Rain"/>
    <x v="2"/>
    <s v="David Torres"/>
    <s v="Closed"/>
    <s v="Overdue"/>
    <n v="12"/>
    <n v="103788"/>
    <n v="1"/>
    <n v="0"/>
    <n v="0"/>
    <n v="1"/>
    <d v="2023-05-01T00:00:00"/>
    <s v="Katherine Processing Site|2023-05"/>
  </r>
  <r>
    <s v="INC-0022"/>
    <d v="2022-10-31T00:00:00"/>
    <x v="1"/>
    <n v="10"/>
    <s v="October"/>
    <s v="Q4"/>
    <x v="0"/>
    <s v="Construction"/>
    <x v="1"/>
    <s v="Non-Recordable"/>
    <s v="Nil (No Injury)"/>
    <x v="1"/>
    <s v="Afternoon"/>
    <n v="0"/>
    <s v="Clear"/>
    <x v="0"/>
    <s v="Jo Smith"/>
    <s v="In Progress"/>
    <s v="Overdue"/>
    <n v="12"/>
    <n v="109615"/>
    <n v="0"/>
    <n v="0"/>
    <n v="0"/>
    <n v="0"/>
    <d v="2022-10-01T00:00:00"/>
    <s v="Thunderbird Mine|2022-10"/>
  </r>
  <r>
    <s v="INC-0023"/>
    <d v="2022-06-11T00:00:00"/>
    <x v="1"/>
    <n v="6"/>
    <s v="June"/>
    <s v="Q2"/>
    <x v="3"/>
    <s v="Mining Operations"/>
    <x v="0"/>
    <s v="Non-Recordable"/>
    <s v="Nil (No Injury)"/>
    <x v="6"/>
    <s v="Day"/>
    <n v="0"/>
    <s v="Extreme Heat"/>
    <x v="0"/>
    <s v="Mark Daniels"/>
    <s v="Open"/>
    <s v="Complete"/>
    <n v="12"/>
    <n v="72271"/>
    <n v="0"/>
    <n v="0"/>
    <n v="0"/>
    <n v="0"/>
    <d v="2022-06-01T00:00:00"/>
    <s v="Broome Logistics Hub|2022-06"/>
  </r>
  <r>
    <s v="INC-0024"/>
    <d v="2022-02-10T00:00:00"/>
    <x v="1"/>
    <n v="2"/>
    <s v="February"/>
    <s v="Q1"/>
    <x v="0"/>
    <s v="Processing"/>
    <x v="5"/>
    <s v="Non-Recordable"/>
    <s v="Nil (No Injury)"/>
    <x v="7"/>
    <s v="Afternoon"/>
    <n v="0"/>
    <s v="Extreme Heat"/>
    <x v="2"/>
    <s v="Sarah Chen"/>
    <s v="Closed"/>
    <s v="Complete"/>
    <n v="9"/>
    <n v="74814"/>
    <n v="0"/>
    <n v="0"/>
    <n v="0"/>
    <n v="0"/>
    <d v="2022-02-01T00:00:00"/>
    <s v="Thunderbird Mine|2022-02"/>
  </r>
  <r>
    <s v="INC-0025"/>
    <d v="2023-02-10T00:00:00"/>
    <x v="0"/>
    <n v="2"/>
    <s v="February"/>
    <s v="Q1"/>
    <x v="2"/>
    <s v="Processing"/>
    <x v="1"/>
    <s v="Non-Recordable"/>
    <s v="Shoulder"/>
    <x v="3"/>
    <s v="Day"/>
    <n v="0"/>
    <s v="Rain"/>
    <x v="0"/>
    <s v="Jo Smith"/>
    <s v="In Progress"/>
    <s v="Complete"/>
    <n v="12"/>
    <n v="74760"/>
    <n v="0"/>
    <n v="0"/>
    <n v="0"/>
    <n v="0"/>
    <d v="2023-02-01T00:00:00"/>
    <s v="Pilbara Crusher Plant|2023-02"/>
  </r>
  <r>
    <s v="INC-0026"/>
    <d v="2022-05-16T00:00:00"/>
    <x v="1"/>
    <n v="5"/>
    <s v="May"/>
    <s v="Q2"/>
    <x v="0"/>
    <s v="Maintenance"/>
    <x v="3"/>
    <s v="Recordable"/>
    <s v="Shoulder"/>
    <x v="0"/>
    <s v="Day"/>
    <n v="0"/>
    <s v="Rain"/>
    <x v="2"/>
    <s v="Priya Nair"/>
    <s v="In Progress"/>
    <s v="Complete"/>
    <n v="12"/>
    <n v="79240"/>
    <n v="1"/>
    <n v="0"/>
    <n v="0"/>
    <n v="0"/>
    <d v="2022-05-01T00:00:00"/>
    <s v="Thunderbird Mine|2022-05"/>
  </r>
  <r>
    <s v="INC-0027"/>
    <d v="2023-11-11T00:00:00"/>
    <x v="0"/>
    <n v="11"/>
    <s v="November"/>
    <s v="Q4"/>
    <x v="1"/>
    <s v="Logistics"/>
    <x v="0"/>
    <s v="Non-Recordable"/>
    <s v="Nil (No Injury)"/>
    <x v="3"/>
    <s v="Day"/>
    <n v="0"/>
    <s v="Wind"/>
    <x v="0"/>
    <s v="Sarah Chen"/>
    <s v="Closed"/>
    <s v="Pending"/>
    <n v="9"/>
    <n v="84942"/>
    <n v="0"/>
    <n v="0"/>
    <n v="0"/>
    <n v="0"/>
    <d v="2023-11-01T00:00:00"/>
    <s v="Darwin Port Facility|2023-11"/>
  </r>
  <r>
    <s v="INC-0028"/>
    <d v="2023-10-12T00:00:00"/>
    <x v="0"/>
    <n v="10"/>
    <s v="October"/>
    <s v="Q4"/>
    <x v="2"/>
    <s v="Construction"/>
    <x v="2"/>
    <s v="Non-Recordable"/>
    <s v="Nil (No Injury)"/>
    <x v="5"/>
    <s v="Night"/>
    <n v="0"/>
    <s v="Overcast"/>
    <x v="0"/>
    <s v="Jo Smith"/>
    <s v="Open"/>
    <s v="Complete"/>
    <n v="8"/>
    <n v="40464"/>
    <n v="0"/>
    <n v="0"/>
    <n v="0"/>
    <n v="0"/>
    <d v="2023-10-01T00:00:00"/>
    <s v="Pilbara Crusher Plant|2023-10"/>
  </r>
  <r>
    <s v="INC-0029"/>
    <d v="2022-12-08T00:00:00"/>
    <x v="1"/>
    <n v="12"/>
    <s v="December"/>
    <s v="Q4"/>
    <x v="1"/>
    <s v="Administration"/>
    <x v="2"/>
    <s v="Non-Recordable"/>
    <s v="Nil (No Injury)"/>
    <x v="0"/>
    <s v="Day"/>
    <n v="0"/>
    <s v="Wind"/>
    <x v="1"/>
    <s v="Priya Nair"/>
    <s v="Open"/>
    <s v="Pending"/>
    <n v="8"/>
    <n v="54663"/>
    <n v="0"/>
    <n v="0"/>
    <n v="0"/>
    <n v="0"/>
    <d v="2022-12-01T00:00:00"/>
    <s v="Darwin Port Facility|2022-12"/>
  </r>
  <r>
    <s v="INC-0030"/>
    <d v="2022-03-19T00:00:00"/>
    <x v="1"/>
    <n v="3"/>
    <s v="March"/>
    <s v="Q1"/>
    <x v="1"/>
    <s v="Construction"/>
    <x v="4"/>
    <s v="Non-Recordable"/>
    <s v="Nil (No Injury)"/>
    <x v="1"/>
    <s v="Night"/>
    <n v="0"/>
    <s v="Extreme Heat"/>
    <x v="0"/>
    <s v="David Torres"/>
    <s v="Closed"/>
    <s v="Complete"/>
    <n v="10"/>
    <n v="87795"/>
    <n v="0"/>
    <n v="0"/>
    <n v="0"/>
    <n v="0"/>
    <d v="2022-03-01T00:00:00"/>
    <s v="Darwin Port Facility|2022-03"/>
  </r>
  <r>
    <s v="INC-0031"/>
    <d v="2024-03-26T00:00:00"/>
    <x v="2"/>
    <n v="3"/>
    <s v="March"/>
    <s v="Q1"/>
    <x v="0"/>
    <s v="Logistics"/>
    <x v="2"/>
    <s v="Non-Recordable"/>
    <s v="Nil (No Injury)"/>
    <x v="8"/>
    <s v="Afternoon"/>
    <n v="0"/>
    <s v="Clear"/>
    <x v="0"/>
    <s v="Sarah Chen"/>
    <s v="In Progress"/>
    <s v="Overdue"/>
    <n v="12"/>
    <n v="60257"/>
    <n v="0"/>
    <n v="0"/>
    <n v="0"/>
    <n v="0"/>
    <d v="2024-03-01T00:00:00"/>
    <s v="Thunderbird Mine|2024-03"/>
  </r>
  <r>
    <s v="INC-0032"/>
    <d v="2022-08-31T00:00:00"/>
    <x v="1"/>
    <n v="8"/>
    <s v="August"/>
    <s v="Q3"/>
    <x v="1"/>
    <s v="Maintenance"/>
    <x v="2"/>
    <s v="Non-Recordable"/>
    <s v="Nil (No Injury)"/>
    <x v="2"/>
    <s v="Day"/>
    <n v="0"/>
    <s v="Clear"/>
    <x v="2"/>
    <s v="David Torres"/>
    <s v="Closed"/>
    <s v="Complete"/>
    <n v="9"/>
    <n v="54168"/>
    <n v="0"/>
    <n v="0"/>
    <n v="0"/>
    <n v="0"/>
    <d v="2022-08-01T00:00:00"/>
    <s v="Darwin Port Facility|2022-08"/>
  </r>
  <r>
    <s v="INC-0033"/>
    <d v="2023-01-27T00:00:00"/>
    <x v="0"/>
    <n v="1"/>
    <s v="January"/>
    <s v="Q1"/>
    <x v="0"/>
    <s v="Processing"/>
    <x v="2"/>
    <s v="Non-Recordable"/>
    <s v="Nil (No Injury)"/>
    <x v="8"/>
    <s v="Day"/>
    <n v="0"/>
    <s v="Overcast"/>
    <x v="1"/>
    <s v="Sarah Chen"/>
    <s v="Closed"/>
    <s v="Complete"/>
    <n v="9"/>
    <n v="43101"/>
    <n v="0"/>
    <n v="0"/>
    <n v="0"/>
    <n v="0"/>
    <d v="2023-01-01T00:00:00"/>
    <s v="Thunderbird Mine|2023-01"/>
  </r>
  <r>
    <s v="INC-0034"/>
    <d v="2023-11-07T00:00:00"/>
    <x v="0"/>
    <n v="11"/>
    <s v="November"/>
    <s v="Q4"/>
    <x v="4"/>
    <s v="Logistics"/>
    <x v="1"/>
    <s v="Non-Recordable"/>
    <s v="Head"/>
    <x v="3"/>
    <s v="Night"/>
    <n v="0"/>
    <s v="Clear"/>
    <x v="1"/>
    <s v="Priya Nair"/>
    <s v="Closed"/>
    <s v="Complete"/>
    <n v="8"/>
    <n v="74237"/>
    <n v="0"/>
    <n v="0"/>
    <n v="0"/>
    <n v="0"/>
    <d v="2023-11-01T00:00:00"/>
    <s v="Katherine Processing Site|2023-11"/>
  </r>
  <r>
    <s v="INC-0035"/>
    <d v="2022-07-02T00:00:00"/>
    <x v="1"/>
    <n v="7"/>
    <s v="July"/>
    <s v="Q3"/>
    <x v="2"/>
    <s v="Mining Operations"/>
    <x v="5"/>
    <s v="Non-Recordable"/>
    <s v="Nil (No Injury)"/>
    <x v="3"/>
    <s v="Afternoon"/>
    <n v="0"/>
    <s v="Rain"/>
    <x v="2"/>
    <s v="Sarah Chen"/>
    <s v="Open"/>
    <s v="Pending"/>
    <n v="12"/>
    <n v="55157"/>
    <n v="0"/>
    <n v="0"/>
    <n v="0"/>
    <n v="0"/>
    <d v="2022-07-01T00:00:00"/>
    <s v="Pilbara Crusher Plant|2022-07"/>
  </r>
  <r>
    <s v="INC-0036"/>
    <d v="2023-01-30T00:00:00"/>
    <x v="0"/>
    <n v="1"/>
    <s v="January"/>
    <s v="Q1"/>
    <x v="1"/>
    <s v="Logistics"/>
    <x v="5"/>
    <s v="Non-Recordable"/>
    <s v="Nil (No Injury)"/>
    <x v="1"/>
    <s v="Afternoon"/>
    <n v="0"/>
    <s v="Rain"/>
    <x v="0"/>
    <s v="Priya Nair"/>
    <s v="In Progress"/>
    <s v="Complete"/>
    <n v="10"/>
    <n v="96531"/>
    <n v="0"/>
    <n v="0"/>
    <n v="0"/>
    <n v="0"/>
    <d v="2023-01-01T00:00:00"/>
    <s v="Darwin Port Facility|2023-01"/>
  </r>
  <r>
    <s v="INC-0037"/>
    <d v="2022-03-13T00:00:00"/>
    <x v="1"/>
    <n v="3"/>
    <s v="March"/>
    <s v="Q1"/>
    <x v="2"/>
    <s v="Construction"/>
    <x v="4"/>
    <s v="Non-Recordable"/>
    <s v="Nil (No Injury)"/>
    <x v="4"/>
    <s v="Afternoon"/>
    <n v="0"/>
    <s v="Overcast"/>
    <x v="0"/>
    <s v="Sarah Chen"/>
    <s v="In Progress"/>
    <s v="Complete"/>
    <n v="11"/>
    <n v="82753"/>
    <n v="0"/>
    <n v="0"/>
    <n v="0"/>
    <n v="0"/>
    <d v="2022-03-01T00:00:00"/>
    <s v="Pilbara Crusher Plant|2022-03"/>
  </r>
  <r>
    <s v="INC-0038"/>
    <d v="2023-02-17T00:00:00"/>
    <x v="0"/>
    <n v="2"/>
    <s v="February"/>
    <s v="Q1"/>
    <x v="2"/>
    <s v="Construction"/>
    <x v="4"/>
    <s v="Non-Recordable"/>
    <s v="Nil (No Injury)"/>
    <x v="6"/>
    <s v="Day"/>
    <n v="0"/>
    <s v="Rain"/>
    <x v="1"/>
    <s v="Mark Daniels"/>
    <s v="In Progress"/>
    <s v="Pending"/>
    <n v="10"/>
    <n v="93225"/>
    <n v="0"/>
    <n v="0"/>
    <n v="0"/>
    <n v="0"/>
    <d v="2023-02-01T00:00:00"/>
    <s v="Pilbara Crusher Plant|2023-02"/>
  </r>
  <r>
    <s v="INC-0039"/>
    <d v="2023-07-16T00:00:00"/>
    <x v="0"/>
    <n v="7"/>
    <s v="July"/>
    <s v="Q3"/>
    <x v="0"/>
    <s v="Logistics"/>
    <x v="2"/>
    <s v="Non-Recordable"/>
    <s v="Nil (No Injury)"/>
    <x v="0"/>
    <s v="Day"/>
    <n v="0"/>
    <s v="Rain"/>
    <x v="2"/>
    <s v="David Torres"/>
    <s v="Open"/>
    <s v="Overdue"/>
    <n v="9"/>
    <n v="107000"/>
    <n v="0"/>
    <n v="0"/>
    <n v="0"/>
    <n v="0"/>
    <d v="2023-07-01T00:00:00"/>
    <s v="Thunderbird Mine|2023-07"/>
  </r>
  <r>
    <s v="INC-0040"/>
    <d v="2023-04-30T00:00:00"/>
    <x v="0"/>
    <n v="4"/>
    <s v="April"/>
    <s v="Q2"/>
    <x v="1"/>
    <s v="Administration"/>
    <x v="2"/>
    <s v="Non-Recordable"/>
    <s v="Nil (No Injury)"/>
    <x v="3"/>
    <s v="Night"/>
    <n v="0"/>
    <s v="Extreme Heat"/>
    <x v="2"/>
    <s v="Jo Smith"/>
    <s v="Closed"/>
    <s v="Complete"/>
    <n v="9"/>
    <n v="66100"/>
    <n v="0"/>
    <n v="0"/>
    <n v="0"/>
    <n v="0"/>
    <d v="2023-04-01T00:00:00"/>
    <s v="Darwin Port Facility|2023-04"/>
  </r>
  <r>
    <s v="INC-0041"/>
    <d v="2022-05-31T00:00:00"/>
    <x v="1"/>
    <n v="5"/>
    <s v="May"/>
    <s v="Q2"/>
    <x v="0"/>
    <s v="Maintenance"/>
    <x v="0"/>
    <s v="Non-Recordable"/>
    <s v="Nil (No Injury)"/>
    <x v="5"/>
    <s v="Afternoon"/>
    <n v="0"/>
    <s v="Overcast"/>
    <x v="0"/>
    <s v="David Torres"/>
    <s v="Open"/>
    <s v="Pending"/>
    <n v="9"/>
    <n v="90328"/>
    <n v="0"/>
    <n v="0"/>
    <n v="0"/>
    <n v="0"/>
    <d v="2022-05-01T00:00:00"/>
    <s v="Thunderbird Mine|2022-05"/>
  </r>
  <r>
    <s v="INC-0042"/>
    <d v="2022-09-07T00:00:00"/>
    <x v="1"/>
    <n v="9"/>
    <s v="September"/>
    <s v="Q3"/>
    <x v="0"/>
    <s v="Mining Operations"/>
    <x v="1"/>
    <s v="Non-Recordable"/>
    <s v="Knee"/>
    <x v="8"/>
    <s v="Day"/>
    <n v="0"/>
    <s v="Overcast"/>
    <x v="1"/>
    <s v="Jo Smith"/>
    <s v="In Progress"/>
    <s v="Complete"/>
    <n v="8"/>
    <n v="99829"/>
    <n v="0"/>
    <n v="0"/>
    <n v="0"/>
    <n v="0"/>
    <d v="2022-09-01T00:00:00"/>
    <s v="Thunderbird Mine|2022-09"/>
  </r>
  <r>
    <s v="INC-0043"/>
    <d v="2022-05-17T00:00:00"/>
    <x v="1"/>
    <n v="5"/>
    <s v="May"/>
    <s v="Q2"/>
    <x v="4"/>
    <s v="Administration"/>
    <x v="2"/>
    <s v="Non-Recordable"/>
    <s v="Nil (No Injury)"/>
    <x v="9"/>
    <s v="Afternoon"/>
    <n v="0"/>
    <s v="Extreme Heat"/>
    <x v="2"/>
    <s v="David Torres"/>
    <s v="In Progress"/>
    <s v="Pending"/>
    <n v="11"/>
    <n v="111810"/>
    <n v="0"/>
    <n v="0"/>
    <n v="0"/>
    <n v="0"/>
    <d v="2022-05-01T00:00:00"/>
    <s v="Katherine Processing Site|2022-05"/>
  </r>
  <r>
    <s v="INC-0044"/>
    <d v="2023-04-02T00:00:00"/>
    <x v="0"/>
    <n v="4"/>
    <s v="April"/>
    <s v="Q2"/>
    <x v="4"/>
    <s v="Processing"/>
    <x v="1"/>
    <s v="Non-Recordable"/>
    <s v="Head"/>
    <x v="8"/>
    <s v="Afternoon"/>
    <n v="0"/>
    <s v="Clear"/>
    <x v="1"/>
    <s v="Mark Daniels"/>
    <s v="Closed"/>
    <s v="Overdue"/>
    <n v="8"/>
    <n v="77450"/>
    <n v="0"/>
    <n v="0"/>
    <n v="0"/>
    <n v="0"/>
    <d v="2023-04-01T00:00:00"/>
    <s v="Katherine Processing Site|2023-04"/>
  </r>
  <r>
    <s v="INC-0045"/>
    <d v="2022-08-29T00:00:00"/>
    <x v="1"/>
    <n v="8"/>
    <s v="August"/>
    <s v="Q3"/>
    <x v="2"/>
    <s v="Logistics"/>
    <x v="3"/>
    <s v="Recordable"/>
    <s v="Nil (No Injury)"/>
    <x v="3"/>
    <s v="Day"/>
    <n v="0"/>
    <s v="Clear"/>
    <x v="0"/>
    <s v="David Torres"/>
    <s v="Closed"/>
    <s v="Complete"/>
    <n v="8"/>
    <n v="94377"/>
    <n v="1"/>
    <n v="0"/>
    <n v="0"/>
    <n v="0"/>
    <d v="2022-08-01T00:00:00"/>
    <s v="Pilbara Crusher Plant|2022-08"/>
  </r>
  <r>
    <s v="INC-0046"/>
    <d v="2023-02-22T00:00:00"/>
    <x v="0"/>
    <n v="2"/>
    <s v="February"/>
    <s v="Q1"/>
    <x v="3"/>
    <s v="Processing"/>
    <x v="3"/>
    <s v="Recordable"/>
    <s v="Knee"/>
    <x v="1"/>
    <s v="Day"/>
    <n v="0"/>
    <s v="Overcast"/>
    <x v="1"/>
    <s v="David Torres"/>
    <s v="In Progress"/>
    <s v="Complete"/>
    <n v="12"/>
    <n v="89857"/>
    <n v="1"/>
    <n v="0"/>
    <n v="0"/>
    <n v="0"/>
    <d v="2023-02-01T00:00:00"/>
    <s v="Broome Logistics Hub|2023-02"/>
  </r>
  <r>
    <s v="INC-0047"/>
    <d v="2023-05-04T00:00:00"/>
    <x v="0"/>
    <n v="5"/>
    <s v="May"/>
    <s v="Q2"/>
    <x v="2"/>
    <s v="Logistics"/>
    <x v="0"/>
    <s v="Non-Recordable"/>
    <s v="Nil (No Injury)"/>
    <x v="2"/>
    <s v="Night"/>
    <n v="0"/>
    <s v="Extreme Heat"/>
    <x v="0"/>
    <s v="David Torres"/>
    <s v="Closed"/>
    <s v="Complete"/>
    <n v="11"/>
    <n v="103654"/>
    <n v="0"/>
    <n v="0"/>
    <n v="0"/>
    <n v="0"/>
    <d v="2023-05-01T00:00:00"/>
    <s v="Pilbara Crusher Plant|2023-05"/>
  </r>
  <r>
    <s v="INC-0048"/>
    <d v="2022-12-11T00:00:00"/>
    <x v="1"/>
    <n v="12"/>
    <s v="December"/>
    <s v="Q4"/>
    <x v="4"/>
    <s v="Administration"/>
    <x v="4"/>
    <s v="Non-Recordable"/>
    <s v="Nil (No Injury)"/>
    <x v="6"/>
    <s v="Night"/>
    <n v="0"/>
    <s v="Clear"/>
    <x v="0"/>
    <s v="David Torres"/>
    <s v="In Progress"/>
    <s v="Pending"/>
    <n v="8"/>
    <n v="51003"/>
    <n v="0"/>
    <n v="0"/>
    <n v="0"/>
    <n v="0"/>
    <d v="2022-12-01T00:00:00"/>
    <s v="Katherine Processing Site|2022-12"/>
  </r>
  <r>
    <s v="INC-0049"/>
    <d v="2023-10-21T00:00:00"/>
    <x v="0"/>
    <n v="10"/>
    <s v="October"/>
    <s v="Q4"/>
    <x v="4"/>
    <s v="Maintenance"/>
    <x v="6"/>
    <s v="Recordable"/>
    <s v="Hand/Fingers"/>
    <x v="0"/>
    <s v="Night"/>
    <n v="5"/>
    <s v="Clear"/>
    <x v="0"/>
    <s v="David Torres"/>
    <s v="Closed"/>
    <s v="Complete"/>
    <n v="11"/>
    <n v="76471"/>
    <n v="1"/>
    <n v="0"/>
    <n v="1"/>
    <n v="1"/>
    <d v="2023-10-01T00:00:00"/>
    <s v="Katherine Processing Site|2023-10"/>
  </r>
  <r>
    <s v="INC-0050"/>
    <d v="2024-05-01T00:00:00"/>
    <x v="2"/>
    <n v="5"/>
    <s v="May"/>
    <s v="Q2"/>
    <x v="0"/>
    <s v="Processing"/>
    <x v="6"/>
    <s v="Recordable"/>
    <s v="Hand/Fingers"/>
    <x v="9"/>
    <s v="Day"/>
    <n v="9"/>
    <s v="Clear"/>
    <x v="0"/>
    <s v="Jo Smith"/>
    <s v="Closed"/>
    <s v="Complete"/>
    <n v="9"/>
    <n v="66130"/>
    <n v="1"/>
    <n v="0"/>
    <n v="1"/>
    <n v="1"/>
    <d v="2024-05-01T00:00:00"/>
    <s v="Thunderbird Mine|2024-05"/>
  </r>
  <r>
    <s v="INC-0051"/>
    <d v="2023-09-29T00:00:00"/>
    <x v="0"/>
    <n v="9"/>
    <s v="September"/>
    <s v="Q3"/>
    <x v="1"/>
    <s v="Maintenance"/>
    <x v="1"/>
    <s v="Non-Recordable"/>
    <s v="Nil (No Injury)"/>
    <x v="3"/>
    <s v="Afternoon"/>
    <n v="0"/>
    <s v="Clear"/>
    <x v="1"/>
    <s v="Sarah Chen"/>
    <s v="Closed"/>
    <s v="Complete"/>
    <n v="12"/>
    <n v="119593"/>
    <n v="0"/>
    <n v="0"/>
    <n v="0"/>
    <n v="0"/>
    <d v="2023-09-01T00:00:00"/>
    <s v="Darwin Port Facility|2023-09"/>
  </r>
  <r>
    <s v="INC-0052"/>
    <d v="2024-02-05T00:00:00"/>
    <x v="2"/>
    <n v="2"/>
    <s v="February"/>
    <s v="Q1"/>
    <x v="0"/>
    <s v="Maintenance"/>
    <x v="4"/>
    <s v="Non-Recordable"/>
    <s v="Nil (No Injury)"/>
    <x v="0"/>
    <s v="Day"/>
    <n v="0"/>
    <s v="Extreme Heat"/>
    <x v="0"/>
    <s v="Sarah Chen"/>
    <s v="In Progress"/>
    <s v="Overdue"/>
    <n v="11"/>
    <n v="65995"/>
    <n v="0"/>
    <n v="0"/>
    <n v="0"/>
    <n v="0"/>
    <d v="2024-02-01T00:00:00"/>
    <s v="Thunderbird Mine|2024-02"/>
  </r>
  <r>
    <s v="INC-0053"/>
    <d v="2022-03-19T00:00:00"/>
    <x v="1"/>
    <n v="3"/>
    <s v="March"/>
    <s v="Q1"/>
    <x v="1"/>
    <s v="Mining Operations"/>
    <x v="5"/>
    <s v="Non-Recordable"/>
    <s v="Nil (No Injury)"/>
    <x v="0"/>
    <s v="Afternoon"/>
    <n v="0"/>
    <s v="Extreme Heat"/>
    <x v="0"/>
    <s v="Priya Nair"/>
    <s v="Closed"/>
    <s v="Complete"/>
    <n v="12"/>
    <n v="96148"/>
    <n v="0"/>
    <n v="0"/>
    <n v="0"/>
    <n v="0"/>
    <d v="2022-03-01T00:00:00"/>
    <s v="Darwin Port Facility|2022-03"/>
  </r>
  <r>
    <s v="INC-0054"/>
    <d v="2023-11-09T00:00:00"/>
    <x v="0"/>
    <n v="11"/>
    <s v="November"/>
    <s v="Q4"/>
    <x v="0"/>
    <s v="Construction"/>
    <x v="3"/>
    <s v="Recordable"/>
    <s v="Shoulder"/>
    <x v="1"/>
    <s v="Night"/>
    <n v="0"/>
    <s v="Overcast"/>
    <x v="1"/>
    <s v="Jo Smith"/>
    <s v="Open"/>
    <s v="Complete"/>
    <n v="11"/>
    <n v="60052"/>
    <n v="1"/>
    <n v="0"/>
    <n v="0"/>
    <n v="0"/>
    <d v="2023-11-01T00:00:00"/>
    <s v="Thunderbird Mine|2023-11"/>
  </r>
  <r>
    <s v="INC-0055"/>
    <d v="2023-03-22T00:00:00"/>
    <x v="0"/>
    <n v="3"/>
    <s v="March"/>
    <s v="Q1"/>
    <x v="3"/>
    <s v="Administration"/>
    <x v="1"/>
    <s v="Non-Recordable"/>
    <s v="Head"/>
    <x v="7"/>
    <s v="Afternoon"/>
    <n v="0"/>
    <s v="Overcast"/>
    <x v="1"/>
    <s v="David Torres"/>
    <s v="Open"/>
    <s v="Pending"/>
    <n v="10"/>
    <n v="82245"/>
    <n v="0"/>
    <n v="0"/>
    <n v="0"/>
    <n v="0"/>
    <d v="2023-03-01T00:00:00"/>
    <s v="Broome Logistics Hub|2023-03"/>
  </r>
  <r>
    <s v="INC-0056"/>
    <d v="2024-05-22T00:00:00"/>
    <x v="2"/>
    <n v="5"/>
    <s v="May"/>
    <s v="Q2"/>
    <x v="0"/>
    <s v="Logistics"/>
    <x v="1"/>
    <s v="Non-Recordable"/>
    <s v="Nil (No Injury)"/>
    <x v="8"/>
    <s v="Night"/>
    <n v="0"/>
    <s v="Extreme Heat"/>
    <x v="1"/>
    <s v="Sarah Chen"/>
    <s v="Closed"/>
    <s v="Overdue"/>
    <n v="10"/>
    <n v="63834"/>
    <n v="0"/>
    <n v="0"/>
    <n v="0"/>
    <n v="0"/>
    <d v="2024-05-01T00:00:00"/>
    <s v="Thunderbird Mine|2024-05"/>
  </r>
  <r>
    <s v="INC-0057"/>
    <d v="2023-05-15T00:00:00"/>
    <x v="0"/>
    <n v="5"/>
    <s v="May"/>
    <s v="Q2"/>
    <x v="2"/>
    <s v="Logistics"/>
    <x v="1"/>
    <s v="Non-Recordable"/>
    <s v="Shoulder"/>
    <x v="0"/>
    <s v="Afternoon"/>
    <n v="0"/>
    <s v="Wind"/>
    <x v="2"/>
    <s v="Priya Nair"/>
    <s v="Closed"/>
    <s v="Pending"/>
    <n v="9"/>
    <n v="51221"/>
    <n v="0"/>
    <n v="0"/>
    <n v="0"/>
    <n v="0"/>
    <d v="2023-05-01T00:00:00"/>
    <s v="Pilbara Crusher Plant|2023-05"/>
  </r>
  <r>
    <s v="INC-0058"/>
    <d v="2022-09-05T00:00:00"/>
    <x v="1"/>
    <n v="9"/>
    <s v="September"/>
    <s v="Q3"/>
    <x v="4"/>
    <s v="Processing"/>
    <x v="4"/>
    <s v="Non-Recordable"/>
    <s v="Nil (No Injury)"/>
    <x v="9"/>
    <s v="Day"/>
    <n v="0"/>
    <s v="Wind"/>
    <x v="1"/>
    <s v="David Torres"/>
    <s v="Open"/>
    <s v="Complete"/>
    <n v="8"/>
    <n v="78566"/>
    <n v="0"/>
    <n v="0"/>
    <n v="0"/>
    <n v="0"/>
    <d v="2022-09-01T00:00:00"/>
    <s v="Katherine Processing Site|2022-09"/>
  </r>
  <r>
    <s v="INC-0059"/>
    <d v="2022-08-15T00:00:00"/>
    <x v="1"/>
    <n v="8"/>
    <s v="August"/>
    <s v="Q3"/>
    <x v="1"/>
    <s v="Logistics"/>
    <x v="6"/>
    <s v="Recordable"/>
    <s v="Nil (No Injury)"/>
    <x v="4"/>
    <s v="Night"/>
    <n v="23"/>
    <s v="Extreme Heat"/>
    <x v="2"/>
    <s v="David Torres"/>
    <s v="In Progress"/>
    <s v="Complete"/>
    <n v="10"/>
    <n v="99473"/>
    <n v="1"/>
    <n v="0"/>
    <n v="0"/>
    <n v="1"/>
    <d v="2022-08-01T00:00:00"/>
    <s v="Darwin Port Facility|2022-08"/>
  </r>
  <r>
    <s v="INC-0060"/>
    <d v="2022-09-15T00:00:00"/>
    <x v="1"/>
    <n v="9"/>
    <s v="September"/>
    <s v="Q3"/>
    <x v="0"/>
    <s v="Administration"/>
    <x v="1"/>
    <s v="Non-Recordable"/>
    <s v="Eye"/>
    <x v="4"/>
    <s v="Day"/>
    <n v="0"/>
    <s v="Wind"/>
    <x v="0"/>
    <s v="Mark Daniels"/>
    <s v="Closed"/>
    <s v="Overdue"/>
    <n v="10"/>
    <n v="117278"/>
    <n v="0"/>
    <n v="0"/>
    <n v="0"/>
    <n v="0"/>
    <d v="2022-09-01T00:00:00"/>
    <s v="Thunderbird Mine|2022-09"/>
  </r>
  <r>
    <s v="INC-0061"/>
    <d v="2024-02-18T00:00:00"/>
    <x v="2"/>
    <n v="2"/>
    <s v="February"/>
    <s v="Q1"/>
    <x v="3"/>
    <s v="Logistics"/>
    <x v="5"/>
    <s v="Non-Recordable"/>
    <s v="Nil (No Injury)"/>
    <x v="3"/>
    <s v="Day"/>
    <n v="0"/>
    <s v="Clear"/>
    <x v="0"/>
    <s v="Sarah Chen"/>
    <s v="Closed"/>
    <s v="Complete"/>
    <n v="8"/>
    <n v="110010"/>
    <n v="0"/>
    <n v="0"/>
    <n v="0"/>
    <n v="0"/>
    <d v="2024-02-01T00:00:00"/>
    <s v="Broome Logistics Hub|2024-02"/>
  </r>
  <r>
    <s v="INC-0062"/>
    <d v="2022-05-10T00:00:00"/>
    <x v="1"/>
    <n v="5"/>
    <s v="May"/>
    <s v="Q2"/>
    <x v="0"/>
    <s v="Mining Operations"/>
    <x v="3"/>
    <s v="Recordable"/>
    <s v="Nil (No Injury)"/>
    <x v="0"/>
    <s v="Afternoon"/>
    <n v="0"/>
    <s v="Clear"/>
    <x v="1"/>
    <s v="Jo Smith"/>
    <s v="Closed"/>
    <s v="Pending"/>
    <n v="10"/>
    <n v="101524"/>
    <n v="1"/>
    <n v="0"/>
    <n v="0"/>
    <n v="0"/>
    <d v="2022-05-01T00:00:00"/>
    <s v="Thunderbird Mine|2022-05"/>
  </r>
  <r>
    <s v="INC-0063"/>
    <d v="2023-05-06T00:00:00"/>
    <x v="0"/>
    <n v="5"/>
    <s v="May"/>
    <s v="Q2"/>
    <x v="1"/>
    <s v="Mining Operations"/>
    <x v="6"/>
    <s v="Recordable"/>
    <s v="Head"/>
    <x v="5"/>
    <s v="Day"/>
    <n v="11"/>
    <s v="Overcast"/>
    <x v="0"/>
    <s v="David Torres"/>
    <s v="Open"/>
    <s v="Complete"/>
    <n v="12"/>
    <n v="47026"/>
    <n v="1"/>
    <n v="0"/>
    <n v="0"/>
    <n v="1"/>
    <d v="2023-05-01T00:00:00"/>
    <s v="Darwin Port Facility|2023-05"/>
  </r>
  <r>
    <s v="INC-0064"/>
    <d v="2024-04-10T00:00:00"/>
    <x v="2"/>
    <n v="4"/>
    <s v="April"/>
    <s v="Q2"/>
    <x v="2"/>
    <s v="Mining Operations"/>
    <x v="5"/>
    <s v="Non-Recordable"/>
    <s v="Nil (No Injury)"/>
    <x v="8"/>
    <s v="Day"/>
    <n v="0"/>
    <s v="Extreme Heat"/>
    <x v="1"/>
    <s v="Priya Nair"/>
    <s v="In Progress"/>
    <s v="Pending"/>
    <n v="9"/>
    <n v="108494"/>
    <n v="0"/>
    <n v="0"/>
    <n v="0"/>
    <n v="0"/>
    <d v="2024-04-01T00:00:00"/>
    <s v="Pilbara Crusher Plant|2024-04"/>
  </r>
  <r>
    <s v="INC-0065"/>
    <d v="2023-01-25T00:00:00"/>
    <x v="0"/>
    <n v="1"/>
    <s v="January"/>
    <s v="Q1"/>
    <x v="4"/>
    <s v="Logistics"/>
    <x v="6"/>
    <s v="Recordable"/>
    <s v="Nil (No Injury)"/>
    <x v="2"/>
    <s v="Night"/>
    <n v="30"/>
    <s v="Extreme Heat"/>
    <x v="0"/>
    <s v="Priya Nair"/>
    <s v="Closed"/>
    <s v="Complete"/>
    <n v="9"/>
    <n v="74687"/>
    <n v="1"/>
    <n v="0"/>
    <n v="0"/>
    <n v="1"/>
    <d v="2023-01-01T00:00:00"/>
    <s v="Katherine Processing Site|2023-01"/>
  </r>
  <r>
    <s v="INC-0066"/>
    <d v="2022-06-10T00:00:00"/>
    <x v="1"/>
    <n v="6"/>
    <s v="June"/>
    <s v="Q2"/>
    <x v="1"/>
    <s v="Construction"/>
    <x v="1"/>
    <s v="Non-Recordable"/>
    <s v="Back/Spine"/>
    <x v="6"/>
    <s v="Day"/>
    <n v="0"/>
    <s v="Rain"/>
    <x v="1"/>
    <s v="Priya Nair"/>
    <s v="Open"/>
    <s v="Complete"/>
    <n v="8"/>
    <n v="70340"/>
    <n v="0"/>
    <n v="0"/>
    <n v="0"/>
    <n v="0"/>
    <d v="2022-06-01T00:00:00"/>
    <s v="Darwin Port Facility|2022-06"/>
  </r>
  <r>
    <s v="INC-0067"/>
    <d v="2022-10-23T00:00:00"/>
    <x v="1"/>
    <n v="10"/>
    <s v="October"/>
    <s v="Q4"/>
    <x v="2"/>
    <s v="Administration"/>
    <x v="4"/>
    <s v="Non-Recordable"/>
    <s v="Nil (No Injury)"/>
    <x v="5"/>
    <s v="Day"/>
    <n v="0"/>
    <s v="Wind"/>
    <x v="0"/>
    <s v="Sarah Chen"/>
    <s v="In Progress"/>
    <s v="Complete"/>
    <n v="11"/>
    <n v="55043"/>
    <n v="0"/>
    <n v="0"/>
    <n v="0"/>
    <n v="0"/>
    <d v="2022-10-01T00:00:00"/>
    <s v="Pilbara Crusher Plant|2022-10"/>
  </r>
  <r>
    <s v="INC-0068"/>
    <d v="2023-07-12T00:00:00"/>
    <x v="0"/>
    <n v="7"/>
    <s v="July"/>
    <s v="Q3"/>
    <x v="1"/>
    <s v="Logistics"/>
    <x v="1"/>
    <s v="Non-Recordable"/>
    <s v="Foot/Ankle"/>
    <x v="3"/>
    <s v="Day"/>
    <n v="0"/>
    <s v="Clear"/>
    <x v="2"/>
    <s v="Priya Nair"/>
    <s v="In Progress"/>
    <s v="Complete"/>
    <n v="11"/>
    <n v="56299"/>
    <n v="0"/>
    <n v="0"/>
    <n v="0"/>
    <n v="0"/>
    <d v="2023-07-01T00:00:00"/>
    <s v="Darwin Port Facility|2023-07"/>
  </r>
  <r>
    <s v="INC-0069"/>
    <d v="2023-04-25T00:00:00"/>
    <x v="0"/>
    <n v="4"/>
    <s v="April"/>
    <s v="Q2"/>
    <x v="2"/>
    <s v="Administration"/>
    <x v="4"/>
    <s v="Non-Recordable"/>
    <s v="Nil (No Injury)"/>
    <x v="2"/>
    <s v="Night"/>
    <n v="0"/>
    <s v="Extreme Heat"/>
    <x v="1"/>
    <s v="David Torres"/>
    <s v="Closed"/>
    <s v="Pending"/>
    <n v="8"/>
    <n v="96626"/>
    <n v="0"/>
    <n v="0"/>
    <n v="0"/>
    <n v="0"/>
    <d v="2023-04-01T00:00:00"/>
    <s v="Pilbara Crusher Plant|2023-04"/>
  </r>
  <r>
    <s v="INC-0070"/>
    <d v="2024-01-23T00:00:00"/>
    <x v="2"/>
    <n v="1"/>
    <s v="January"/>
    <s v="Q1"/>
    <x v="3"/>
    <s v="Logistics"/>
    <x v="3"/>
    <s v="Recordable"/>
    <s v="Hand/Fingers"/>
    <x v="3"/>
    <s v="Day"/>
    <n v="0"/>
    <s v="Wind"/>
    <x v="0"/>
    <s v="Sarah Chen"/>
    <s v="In Progress"/>
    <s v="Complete"/>
    <n v="9"/>
    <n v="101669"/>
    <n v="1"/>
    <n v="0"/>
    <n v="0"/>
    <n v="0"/>
    <d v="2024-01-01T00:00:00"/>
    <s v="Broome Logistics Hub|2024-01"/>
  </r>
  <r>
    <s v="INC-0071"/>
    <d v="2023-06-16T00:00:00"/>
    <x v="0"/>
    <n v="6"/>
    <s v="June"/>
    <s v="Q2"/>
    <x v="4"/>
    <s v="Logistics"/>
    <x v="4"/>
    <s v="Non-Recordable"/>
    <s v="Nil (No Injury)"/>
    <x v="6"/>
    <s v="Afternoon"/>
    <n v="0"/>
    <s v="Rain"/>
    <x v="1"/>
    <s v="Jo Smith"/>
    <s v="Open"/>
    <s v="Complete"/>
    <n v="11"/>
    <n v="83687"/>
    <n v="0"/>
    <n v="0"/>
    <n v="0"/>
    <n v="0"/>
    <d v="2023-06-01T00:00:00"/>
    <s v="Katherine Processing Site|2023-06"/>
  </r>
  <r>
    <s v="INC-0072"/>
    <d v="2022-11-25T00:00:00"/>
    <x v="1"/>
    <n v="11"/>
    <s v="November"/>
    <s v="Q4"/>
    <x v="0"/>
    <s v="Maintenance"/>
    <x v="4"/>
    <s v="Non-Recordable"/>
    <s v="Nil (No Injury)"/>
    <x v="4"/>
    <s v="Night"/>
    <n v="0"/>
    <s v="Wind"/>
    <x v="1"/>
    <s v="Sarah Chen"/>
    <s v="Open"/>
    <s v="Pending"/>
    <n v="8"/>
    <n v="99614"/>
    <n v="0"/>
    <n v="0"/>
    <n v="0"/>
    <n v="0"/>
    <d v="2022-11-01T00:00:00"/>
    <s v="Thunderbird Mine|2022-11"/>
  </r>
  <r>
    <s v="INC-0073"/>
    <d v="2022-04-01T00:00:00"/>
    <x v="1"/>
    <n v="4"/>
    <s v="April"/>
    <s v="Q2"/>
    <x v="2"/>
    <s v="Logistics"/>
    <x v="3"/>
    <s v="Recordable"/>
    <s v="Back/Spine"/>
    <x v="2"/>
    <s v="Afternoon"/>
    <n v="0"/>
    <s v="Overcast"/>
    <x v="0"/>
    <s v="Priya Nair"/>
    <s v="Open"/>
    <s v="Overdue"/>
    <n v="8"/>
    <n v="64586"/>
    <n v="1"/>
    <n v="0"/>
    <n v="0"/>
    <n v="0"/>
    <d v="2022-04-01T00:00:00"/>
    <s v="Pilbara Crusher Plant|2022-04"/>
  </r>
  <r>
    <s v="INC-0074"/>
    <d v="2023-06-15T00:00:00"/>
    <x v="0"/>
    <n v="6"/>
    <s v="June"/>
    <s v="Q2"/>
    <x v="3"/>
    <s v="Processing"/>
    <x v="3"/>
    <s v="Recordable"/>
    <s v="Nil (No Injury)"/>
    <x v="1"/>
    <s v="Day"/>
    <n v="0"/>
    <s v="Clear"/>
    <x v="0"/>
    <s v="Sarah Chen"/>
    <s v="Open"/>
    <s v="Overdue"/>
    <n v="8"/>
    <n v="43783"/>
    <n v="1"/>
    <n v="0"/>
    <n v="0"/>
    <n v="0"/>
    <d v="2023-06-01T00:00:00"/>
    <s v="Broome Logistics Hub|2023-06"/>
  </r>
  <r>
    <s v="INC-0075"/>
    <d v="2023-10-08T00:00:00"/>
    <x v="0"/>
    <n v="10"/>
    <s v="October"/>
    <s v="Q4"/>
    <x v="1"/>
    <s v="Administration"/>
    <x v="5"/>
    <s v="Non-Recordable"/>
    <s v="Nil (No Injury)"/>
    <x v="6"/>
    <s v="Night"/>
    <n v="0"/>
    <s v="Extreme Heat"/>
    <x v="0"/>
    <s v="Priya Nair"/>
    <s v="Open"/>
    <s v="Complete"/>
    <n v="9"/>
    <n v="54871"/>
    <n v="0"/>
    <n v="0"/>
    <n v="0"/>
    <n v="0"/>
    <d v="2023-10-01T00:00:00"/>
    <s v="Darwin Port Facility|2023-10"/>
  </r>
  <r>
    <s v="INC-0076"/>
    <d v="2023-04-18T00:00:00"/>
    <x v="0"/>
    <n v="4"/>
    <s v="April"/>
    <s v="Q2"/>
    <x v="1"/>
    <s v="Processing"/>
    <x v="0"/>
    <s v="Non-Recordable"/>
    <s v="Nil (No Injury)"/>
    <x v="0"/>
    <s v="Afternoon"/>
    <n v="0"/>
    <s v="Wind"/>
    <x v="2"/>
    <s v="David Torres"/>
    <s v="Open"/>
    <s v="Overdue"/>
    <n v="9"/>
    <n v="99871"/>
    <n v="0"/>
    <n v="0"/>
    <n v="0"/>
    <n v="0"/>
    <d v="2023-04-01T00:00:00"/>
    <s v="Darwin Port Facility|2023-04"/>
  </r>
  <r>
    <s v="INC-0077"/>
    <d v="2023-01-28T00:00:00"/>
    <x v="0"/>
    <n v="1"/>
    <s v="January"/>
    <s v="Q1"/>
    <x v="3"/>
    <s v="Construction"/>
    <x v="1"/>
    <s v="Non-Recordable"/>
    <s v="Foot/Ankle"/>
    <x v="3"/>
    <s v="Night"/>
    <n v="0"/>
    <s v="Overcast"/>
    <x v="1"/>
    <s v="Sarah Chen"/>
    <s v="In Progress"/>
    <s v="Complete"/>
    <n v="8"/>
    <n v="77072"/>
    <n v="0"/>
    <n v="0"/>
    <n v="0"/>
    <n v="0"/>
    <d v="2023-01-01T00:00:00"/>
    <s v="Broome Logistics Hub|2023-01"/>
  </r>
  <r>
    <s v="INC-0078"/>
    <d v="2024-01-14T00:00:00"/>
    <x v="2"/>
    <n v="1"/>
    <s v="January"/>
    <s v="Q1"/>
    <x v="3"/>
    <s v="Construction"/>
    <x v="3"/>
    <s v="Recordable"/>
    <s v="Nil (No Injury)"/>
    <x v="6"/>
    <s v="Night"/>
    <n v="0"/>
    <s v="Extreme Heat"/>
    <x v="1"/>
    <s v="Sarah Chen"/>
    <s v="Closed"/>
    <s v="Pending"/>
    <n v="12"/>
    <n v="89441"/>
    <n v="1"/>
    <n v="0"/>
    <n v="0"/>
    <n v="0"/>
    <d v="2024-01-01T00:00:00"/>
    <s v="Broome Logistics Hub|2024-01"/>
  </r>
  <r>
    <s v="INC-0079"/>
    <d v="2023-04-12T00:00:00"/>
    <x v="0"/>
    <n v="4"/>
    <s v="April"/>
    <s v="Q2"/>
    <x v="1"/>
    <s v="Administration"/>
    <x v="3"/>
    <s v="Recordable"/>
    <s v="Eye"/>
    <x v="7"/>
    <s v="Night"/>
    <n v="0"/>
    <s v="Clear"/>
    <x v="1"/>
    <s v="Jo Smith"/>
    <s v="Closed"/>
    <s v="Overdue"/>
    <n v="11"/>
    <n v="90604"/>
    <n v="1"/>
    <n v="0"/>
    <n v="0"/>
    <n v="0"/>
    <d v="2023-04-01T00:00:00"/>
    <s v="Darwin Port Facility|2023-04"/>
  </r>
  <r>
    <s v="INC-0080"/>
    <d v="2023-11-11T00:00:00"/>
    <x v="0"/>
    <n v="11"/>
    <s v="November"/>
    <s v="Q4"/>
    <x v="1"/>
    <s v="Processing"/>
    <x v="2"/>
    <s v="Non-Recordable"/>
    <s v="Nil (No Injury)"/>
    <x v="1"/>
    <s v="Day"/>
    <n v="0"/>
    <s v="Extreme Heat"/>
    <x v="2"/>
    <s v="Jo Smith"/>
    <s v="Open"/>
    <s v="Complete"/>
    <n v="12"/>
    <n v="99890"/>
    <n v="0"/>
    <n v="0"/>
    <n v="0"/>
    <n v="0"/>
    <d v="2023-11-01T00:00:00"/>
    <s v="Darwin Port Facility|2023-11"/>
  </r>
  <r>
    <s v="INC-0081"/>
    <d v="2022-01-16T00:00:00"/>
    <x v="1"/>
    <n v="1"/>
    <s v="January"/>
    <s v="Q1"/>
    <x v="1"/>
    <s v="Processing"/>
    <x v="4"/>
    <s v="Non-Recordable"/>
    <s v="Nil (No Injury)"/>
    <x v="6"/>
    <s v="Day"/>
    <n v="0"/>
    <s v="Rain"/>
    <x v="2"/>
    <s v="Sarah Chen"/>
    <s v="In Progress"/>
    <s v="Overdue"/>
    <n v="8"/>
    <n v="83065"/>
    <n v="0"/>
    <n v="0"/>
    <n v="0"/>
    <n v="0"/>
    <d v="2022-01-01T00:00:00"/>
    <s v="Darwin Port Facility|2022-01"/>
  </r>
  <r>
    <s v="INC-0082"/>
    <d v="2024-05-22T00:00:00"/>
    <x v="2"/>
    <n v="5"/>
    <s v="May"/>
    <s v="Q2"/>
    <x v="3"/>
    <s v="Processing"/>
    <x v="4"/>
    <s v="Non-Recordable"/>
    <s v="Nil (No Injury)"/>
    <x v="4"/>
    <s v="Afternoon"/>
    <n v="0"/>
    <s v="Wind"/>
    <x v="1"/>
    <s v="Priya Nair"/>
    <s v="Closed"/>
    <s v="Pending"/>
    <n v="8"/>
    <n v="70771"/>
    <n v="0"/>
    <n v="0"/>
    <n v="0"/>
    <n v="0"/>
    <d v="2024-05-01T00:00:00"/>
    <s v="Broome Logistics Hub|2024-05"/>
  </r>
  <r>
    <s v="INC-0083"/>
    <d v="2023-10-09T00:00:00"/>
    <x v="0"/>
    <n v="10"/>
    <s v="October"/>
    <s v="Q4"/>
    <x v="2"/>
    <s v="Maintenance"/>
    <x v="4"/>
    <s v="Non-Recordable"/>
    <s v="Nil (No Injury)"/>
    <x v="3"/>
    <s v="Night"/>
    <n v="0"/>
    <s v="Clear"/>
    <x v="0"/>
    <s v="David Torres"/>
    <s v="Closed"/>
    <s v="Complete"/>
    <n v="8"/>
    <n v="46028"/>
    <n v="0"/>
    <n v="0"/>
    <n v="0"/>
    <n v="0"/>
    <d v="2023-10-01T00:00:00"/>
    <s v="Pilbara Crusher Plant|2023-10"/>
  </r>
  <r>
    <s v="INC-0084"/>
    <d v="2022-11-29T00:00:00"/>
    <x v="1"/>
    <n v="11"/>
    <s v="November"/>
    <s v="Q4"/>
    <x v="0"/>
    <s v="Logistics"/>
    <x v="2"/>
    <s v="Non-Recordable"/>
    <s v="Nil (No Injury)"/>
    <x v="4"/>
    <s v="Night"/>
    <n v="0"/>
    <s v="Rain"/>
    <x v="0"/>
    <s v="Mark Daniels"/>
    <s v="In Progress"/>
    <s v="Overdue"/>
    <n v="12"/>
    <n v="63600"/>
    <n v="0"/>
    <n v="0"/>
    <n v="0"/>
    <n v="0"/>
    <d v="2022-11-01T00:00:00"/>
    <s v="Thunderbird Mine|2022-11"/>
  </r>
  <r>
    <s v="INC-0085"/>
    <d v="2022-06-24T00:00:00"/>
    <x v="1"/>
    <n v="6"/>
    <s v="June"/>
    <s v="Q2"/>
    <x v="0"/>
    <s v="Construction"/>
    <x v="1"/>
    <s v="Non-Recordable"/>
    <s v="Knee"/>
    <x v="7"/>
    <s v="Afternoon"/>
    <n v="0"/>
    <s v="Clear"/>
    <x v="1"/>
    <s v="Priya Nair"/>
    <s v="Closed"/>
    <s v="Complete"/>
    <n v="11"/>
    <n v="73289"/>
    <n v="0"/>
    <n v="0"/>
    <n v="0"/>
    <n v="0"/>
    <d v="2022-06-01T00:00:00"/>
    <s v="Thunderbird Mine|2022-06"/>
  </r>
  <r>
    <s v="INC-0086"/>
    <d v="2023-04-16T00:00:00"/>
    <x v="0"/>
    <n v="4"/>
    <s v="April"/>
    <s v="Q2"/>
    <x v="0"/>
    <s v="Processing"/>
    <x v="3"/>
    <s v="Recordable"/>
    <s v="Head"/>
    <x v="9"/>
    <s v="Day"/>
    <n v="0"/>
    <s v="Clear"/>
    <x v="1"/>
    <s v="Sarah Chen"/>
    <s v="In Progress"/>
    <s v="Complete"/>
    <n v="11"/>
    <n v="72780"/>
    <n v="1"/>
    <n v="0"/>
    <n v="0"/>
    <n v="0"/>
    <d v="2023-04-01T00:00:00"/>
    <s v="Thunderbird Mine|2023-04"/>
  </r>
  <r>
    <s v="INC-0087"/>
    <d v="2023-04-13T00:00:00"/>
    <x v="0"/>
    <n v="4"/>
    <s v="April"/>
    <s v="Q2"/>
    <x v="2"/>
    <s v="Maintenance"/>
    <x v="2"/>
    <s v="Non-Recordable"/>
    <s v="Nil (No Injury)"/>
    <x v="2"/>
    <s v="Night"/>
    <n v="0"/>
    <s v="Clear"/>
    <x v="0"/>
    <s v="David Torres"/>
    <s v="In Progress"/>
    <s v="Complete"/>
    <n v="12"/>
    <n v="78780"/>
    <n v="0"/>
    <n v="0"/>
    <n v="0"/>
    <n v="0"/>
    <d v="2023-04-01T00:00:00"/>
    <s v="Pilbara Crusher Plant|2023-04"/>
  </r>
  <r>
    <s v="INC-0088"/>
    <d v="2023-12-18T00:00:00"/>
    <x v="0"/>
    <n v="12"/>
    <s v="December"/>
    <s v="Q4"/>
    <x v="0"/>
    <s v="Administration"/>
    <x v="3"/>
    <s v="Recordable"/>
    <s v="Knee"/>
    <x v="0"/>
    <s v="Day"/>
    <n v="0"/>
    <s v="Extreme Heat"/>
    <x v="0"/>
    <s v="Priya Nair"/>
    <s v="Open"/>
    <s v="Complete"/>
    <n v="9"/>
    <n v="119569"/>
    <n v="1"/>
    <n v="0"/>
    <n v="0"/>
    <n v="0"/>
    <d v="2023-12-01T00:00:00"/>
    <s v="Thunderbird Mine|2023-12"/>
  </r>
  <r>
    <s v="INC-0089"/>
    <d v="2024-04-01T00:00:00"/>
    <x v="2"/>
    <n v="4"/>
    <s v="April"/>
    <s v="Q2"/>
    <x v="1"/>
    <s v="Administration"/>
    <x v="3"/>
    <s v="Recordable"/>
    <s v="Eye"/>
    <x v="7"/>
    <s v="Night"/>
    <n v="0"/>
    <s v="Wind"/>
    <x v="0"/>
    <s v="Jo Smith"/>
    <s v="Closed"/>
    <s v="Complete"/>
    <n v="11"/>
    <n v="44373"/>
    <n v="1"/>
    <n v="0"/>
    <n v="0"/>
    <n v="0"/>
    <d v="2024-04-01T00:00:00"/>
    <s v="Darwin Port Facility|2024-04"/>
  </r>
  <r>
    <s v="INC-0090"/>
    <d v="2023-08-17T00:00:00"/>
    <x v="0"/>
    <n v="8"/>
    <s v="August"/>
    <s v="Q3"/>
    <x v="1"/>
    <s v="Mining Operations"/>
    <x v="3"/>
    <s v="Recordable"/>
    <s v="Head"/>
    <x v="4"/>
    <s v="Afternoon"/>
    <n v="0"/>
    <s v="Rain"/>
    <x v="0"/>
    <s v="Mark Daniels"/>
    <s v="Closed"/>
    <s v="Pending"/>
    <n v="10"/>
    <n v="109579"/>
    <n v="1"/>
    <n v="0"/>
    <n v="0"/>
    <n v="0"/>
    <d v="2023-08-01T00:00:00"/>
    <s v="Darwin Port Facility|2023-08"/>
  </r>
  <r>
    <s v="INC-0091"/>
    <d v="2023-05-29T00:00:00"/>
    <x v="0"/>
    <n v="5"/>
    <s v="May"/>
    <s v="Q2"/>
    <x v="1"/>
    <s v="Logistics"/>
    <x v="3"/>
    <s v="Recordable"/>
    <s v="Nil (No Injury)"/>
    <x v="0"/>
    <s v="Afternoon"/>
    <n v="0"/>
    <s v="Overcast"/>
    <x v="2"/>
    <s v="Jo Smith"/>
    <s v="Open"/>
    <s v="Complete"/>
    <n v="9"/>
    <n v="69571"/>
    <n v="1"/>
    <n v="0"/>
    <n v="0"/>
    <n v="0"/>
    <d v="2023-05-01T00:00:00"/>
    <s v="Darwin Port Facility|2023-05"/>
  </r>
  <r>
    <s v="INC-0092"/>
    <d v="2024-05-30T00:00:00"/>
    <x v="2"/>
    <n v="5"/>
    <s v="May"/>
    <s v="Q2"/>
    <x v="4"/>
    <s v="Construction"/>
    <x v="4"/>
    <s v="Non-Recordable"/>
    <s v="Nil (No Injury)"/>
    <x v="4"/>
    <s v="Day"/>
    <n v="0"/>
    <s v="Overcast"/>
    <x v="1"/>
    <s v="Jo Smith"/>
    <s v="Closed"/>
    <s v="Pending"/>
    <n v="8"/>
    <n v="99609"/>
    <n v="0"/>
    <n v="0"/>
    <n v="0"/>
    <n v="0"/>
    <d v="2024-05-01T00:00:00"/>
    <s v="Katherine Processing Site|2024-05"/>
  </r>
  <r>
    <s v="INC-0093"/>
    <d v="2023-01-13T00:00:00"/>
    <x v="0"/>
    <n v="1"/>
    <s v="January"/>
    <s v="Q1"/>
    <x v="2"/>
    <s v="Construction"/>
    <x v="4"/>
    <s v="Non-Recordable"/>
    <s v="Nil (No Injury)"/>
    <x v="2"/>
    <s v="Afternoon"/>
    <n v="0"/>
    <s v="Clear"/>
    <x v="0"/>
    <s v="Mark Daniels"/>
    <s v="Open"/>
    <s v="Complete"/>
    <n v="12"/>
    <n v="113584"/>
    <n v="0"/>
    <n v="0"/>
    <n v="0"/>
    <n v="0"/>
    <d v="2023-01-01T00:00:00"/>
    <s v="Pilbara Crusher Plant|2023-01"/>
  </r>
  <r>
    <s v="INC-0094"/>
    <d v="2022-12-02T00:00:00"/>
    <x v="1"/>
    <n v="12"/>
    <s v="December"/>
    <s v="Q4"/>
    <x v="1"/>
    <s v="Administration"/>
    <x v="5"/>
    <s v="Non-Recordable"/>
    <s v="Nil (No Injury)"/>
    <x v="3"/>
    <s v="Afternoon"/>
    <n v="0"/>
    <s v="Overcast"/>
    <x v="1"/>
    <s v="Sarah Chen"/>
    <s v="Open"/>
    <s v="Complete"/>
    <n v="9"/>
    <n v="45943"/>
    <n v="0"/>
    <n v="0"/>
    <n v="0"/>
    <n v="0"/>
    <d v="2022-12-01T00:00:00"/>
    <s v="Darwin Port Facility|2022-12"/>
  </r>
  <r>
    <s v="INC-0095"/>
    <d v="2022-02-08T00:00:00"/>
    <x v="1"/>
    <n v="2"/>
    <s v="February"/>
    <s v="Q1"/>
    <x v="4"/>
    <s v="Mining Operations"/>
    <x v="3"/>
    <s v="Recordable"/>
    <s v="Back/Spine"/>
    <x v="8"/>
    <s v="Afternoon"/>
    <n v="0"/>
    <s v="Clear"/>
    <x v="1"/>
    <s v="David Torres"/>
    <s v="Closed"/>
    <s v="Pending"/>
    <n v="11"/>
    <n v="116983"/>
    <n v="1"/>
    <n v="0"/>
    <n v="0"/>
    <n v="0"/>
    <d v="2022-02-01T00:00:00"/>
    <s v="Katherine Processing Site|2022-02"/>
  </r>
  <r>
    <s v="INC-0096"/>
    <d v="2024-01-31T00:00:00"/>
    <x v="2"/>
    <n v="1"/>
    <s v="January"/>
    <s v="Q1"/>
    <x v="1"/>
    <s v="Processing"/>
    <x v="4"/>
    <s v="Non-Recordable"/>
    <s v="Nil (No Injury)"/>
    <x v="3"/>
    <s v="Night"/>
    <n v="0"/>
    <s v="Extreme Heat"/>
    <x v="1"/>
    <s v="Sarah Chen"/>
    <s v="Closed"/>
    <s v="Complete"/>
    <n v="9"/>
    <n v="98115"/>
    <n v="0"/>
    <n v="0"/>
    <n v="0"/>
    <n v="0"/>
    <d v="2024-01-01T00:00:00"/>
    <s v="Darwin Port Facility|2024-01"/>
  </r>
  <r>
    <s v="INC-0097"/>
    <d v="2023-04-01T00:00:00"/>
    <x v="0"/>
    <n v="4"/>
    <s v="April"/>
    <s v="Q2"/>
    <x v="2"/>
    <s v="Mining Operations"/>
    <x v="1"/>
    <s v="Non-Recordable"/>
    <s v="Shoulder"/>
    <x v="9"/>
    <s v="Afternoon"/>
    <n v="0"/>
    <s v="Clear"/>
    <x v="0"/>
    <s v="David Torres"/>
    <s v="Closed"/>
    <s v="Complete"/>
    <n v="8"/>
    <n v="99600"/>
    <n v="0"/>
    <n v="0"/>
    <n v="0"/>
    <n v="0"/>
    <d v="2023-04-01T00:00:00"/>
    <s v="Pilbara Crusher Plant|2023-04"/>
  </r>
  <r>
    <s v="INC-0098"/>
    <d v="2022-04-04T00:00:00"/>
    <x v="1"/>
    <n v="4"/>
    <s v="April"/>
    <s v="Q2"/>
    <x v="1"/>
    <s v="Administration"/>
    <x v="4"/>
    <s v="Non-Recordable"/>
    <s v="Nil (No Injury)"/>
    <x v="7"/>
    <s v="Day"/>
    <n v="0"/>
    <s v="Clear"/>
    <x v="2"/>
    <s v="Mark Daniels"/>
    <s v="Closed"/>
    <s v="Pending"/>
    <n v="9"/>
    <n v="48992"/>
    <n v="0"/>
    <n v="0"/>
    <n v="0"/>
    <n v="0"/>
    <d v="2022-04-01T00:00:00"/>
    <s v="Darwin Port Facility|2022-04"/>
  </r>
  <r>
    <s v="INC-0099"/>
    <d v="2024-04-29T00:00:00"/>
    <x v="2"/>
    <n v="4"/>
    <s v="April"/>
    <s v="Q2"/>
    <x v="3"/>
    <s v="Maintenance"/>
    <x v="2"/>
    <s v="Non-Recordable"/>
    <s v="Nil (No Injury)"/>
    <x v="7"/>
    <s v="Day"/>
    <n v="0"/>
    <s v="Overcast"/>
    <x v="0"/>
    <s v="Sarah Chen"/>
    <s v="Closed"/>
    <s v="Pending"/>
    <n v="8"/>
    <n v="76342"/>
    <n v="0"/>
    <n v="0"/>
    <n v="0"/>
    <n v="0"/>
    <d v="2024-04-01T00:00:00"/>
    <s v="Broome Logistics Hub|2024-04"/>
  </r>
  <r>
    <s v="INC-0100"/>
    <d v="2024-05-29T00:00:00"/>
    <x v="2"/>
    <n v="5"/>
    <s v="May"/>
    <s v="Q2"/>
    <x v="1"/>
    <s v="Construction"/>
    <x v="1"/>
    <s v="Non-Recordable"/>
    <s v="Head"/>
    <x v="6"/>
    <s v="Day"/>
    <n v="0"/>
    <s v="Wind"/>
    <x v="0"/>
    <s v="Mark Daniels"/>
    <s v="Closed"/>
    <s v="Complete"/>
    <n v="9"/>
    <n v="117182"/>
    <n v="0"/>
    <n v="0"/>
    <n v="0"/>
    <n v="0"/>
    <d v="2024-05-01T00:00:00"/>
    <s v="Darwin Port Facility|2024-05"/>
  </r>
  <r>
    <s v="INC-0101"/>
    <d v="2022-11-28T00:00:00"/>
    <x v="1"/>
    <n v="11"/>
    <s v="November"/>
    <s v="Q4"/>
    <x v="1"/>
    <s v="Logistics"/>
    <x v="0"/>
    <s v="Non-Recordable"/>
    <s v="Nil (No Injury)"/>
    <x v="1"/>
    <s v="Day"/>
    <n v="0"/>
    <s v="Wind"/>
    <x v="1"/>
    <s v="Priya Nair"/>
    <s v="Closed"/>
    <s v="Complete"/>
    <n v="11"/>
    <n v="98756"/>
    <n v="0"/>
    <n v="0"/>
    <n v="1"/>
    <n v="0"/>
    <d v="2022-11-01T00:00:00"/>
    <s v="Darwin Port Facility|2022-11"/>
  </r>
  <r>
    <s v="INC-0102"/>
    <d v="2023-06-10T00:00:00"/>
    <x v="0"/>
    <n v="6"/>
    <s v="June"/>
    <s v="Q2"/>
    <x v="0"/>
    <s v="Processing"/>
    <x v="5"/>
    <s v="Non-Recordable"/>
    <s v="Nil (No Injury)"/>
    <x v="9"/>
    <s v="Day"/>
    <n v="0"/>
    <s v="Extreme Heat"/>
    <x v="0"/>
    <s v="Priya Nair"/>
    <s v="Closed"/>
    <s v="Overdue"/>
    <n v="8"/>
    <n v="47972"/>
    <n v="0"/>
    <n v="0"/>
    <n v="0"/>
    <n v="0"/>
    <d v="2023-06-01T00:00:00"/>
    <s v="Thunderbird Mine|2023-06"/>
  </r>
  <r>
    <s v="INC-0103"/>
    <d v="2023-05-06T00:00:00"/>
    <x v="0"/>
    <n v="5"/>
    <s v="May"/>
    <s v="Q2"/>
    <x v="4"/>
    <s v="Processing"/>
    <x v="2"/>
    <s v="Non-Recordable"/>
    <s v="Nil (No Injury)"/>
    <x v="3"/>
    <s v="Night"/>
    <n v="0"/>
    <s v="Wind"/>
    <x v="1"/>
    <s v="Jo Smith"/>
    <s v="Closed"/>
    <s v="Complete"/>
    <n v="12"/>
    <n v="59442"/>
    <n v="0"/>
    <n v="0"/>
    <n v="0"/>
    <n v="0"/>
    <d v="2023-05-01T00:00:00"/>
    <s v="Katherine Processing Site|2023-05"/>
  </r>
  <r>
    <s v="INC-0104"/>
    <d v="2022-03-09T00:00:00"/>
    <x v="1"/>
    <n v="3"/>
    <s v="March"/>
    <s v="Q1"/>
    <x v="2"/>
    <s v="Construction"/>
    <x v="1"/>
    <s v="Non-Recordable"/>
    <s v="Nil (No Injury)"/>
    <x v="9"/>
    <s v="Afternoon"/>
    <n v="0"/>
    <s v="Clear"/>
    <x v="1"/>
    <s v="Priya Nair"/>
    <s v="In Progress"/>
    <s v="Complete"/>
    <n v="11"/>
    <n v="106263"/>
    <n v="0"/>
    <n v="0"/>
    <n v="0"/>
    <n v="0"/>
    <d v="2022-03-01T00:00:00"/>
    <s v="Pilbara Crusher Plant|2022-03"/>
  </r>
  <r>
    <s v="INC-0105"/>
    <d v="2023-09-12T00:00:00"/>
    <x v="0"/>
    <n v="9"/>
    <s v="September"/>
    <s v="Q3"/>
    <x v="0"/>
    <s v="Administration"/>
    <x v="6"/>
    <s v="Recordable"/>
    <s v="Nil (No Injury)"/>
    <x v="8"/>
    <s v="Night"/>
    <n v="4"/>
    <s v="Rain"/>
    <x v="0"/>
    <s v="David Torres"/>
    <s v="Closed"/>
    <s v="Overdue"/>
    <n v="11"/>
    <n v="94524"/>
    <n v="1"/>
    <n v="0"/>
    <n v="1"/>
    <n v="1"/>
    <d v="2023-09-01T00:00:00"/>
    <s v="Thunderbird Mine|2023-09"/>
  </r>
  <r>
    <s v="INC-0106"/>
    <d v="2022-11-17T00:00:00"/>
    <x v="1"/>
    <n v="11"/>
    <s v="November"/>
    <s v="Q4"/>
    <x v="2"/>
    <s v="Logistics"/>
    <x v="6"/>
    <s v="Recordable"/>
    <s v="Foot/Ankle"/>
    <x v="5"/>
    <s v="Day"/>
    <n v="11"/>
    <s v="Clear"/>
    <x v="0"/>
    <s v="Jo Smith"/>
    <s v="Open"/>
    <s v="Complete"/>
    <n v="10"/>
    <n v="57054"/>
    <n v="1"/>
    <n v="0"/>
    <n v="0"/>
    <n v="1"/>
    <d v="2022-11-01T00:00:00"/>
    <s v="Pilbara Crusher Plant|2022-11"/>
  </r>
  <r>
    <s v="INC-0107"/>
    <d v="2023-08-24T00:00:00"/>
    <x v="0"/>
    <n v="8"/>
    <s v="August"/>
    <s v="Q3"/>
    <x v="3"/>
    <s v="Logistics"/>
    <x v="5"/>
    <s v="Non-Recordable"/>
    <s v="Nil (No Injury)"/>
    <x v="3"/>
    <s v="Night"/>
    <n v="0"/>
    <s v="Clear"/>
    <x v="1"/>
    <s v="Jo Smith"/>
    <s v="Closed"/>
    <s v="Pending"/>
    <n v="10"/>
    <n v="86090"/>
    <n v="0"/>
    <n v="0"/>
    <n v="0"/>
    <n v="0"/>
    <d v="2023-08-01T00:00:00"/>
    <s v="Broome Logistics Hub|2023-08"/>
  </r>
  <r>
    <s v="INC-0108"/>
    <d v="2022-04-17T00:00:00"/>
    <x v="1"/>
    <n v="4"/>
    <s v="April"/>
    <s v="Q2"/>
    <x v="3"/>
    <s v="Maintenance"/>
    <x v="5"/>
    <s v="Non-Recordable"/>
    <s v="Nil (No Injury)"/>
    <x v="6"/>
    <s v="Afternoon"/>
    <n v="0"/>
    <s v="Rain"/>
    <x v="0"/>
    <s v="Jo Smith"/>
    <s v="Closed"/>
    <s v="Pending"/>
    <n v="10"/>
    <n v="55058"/>
    <n v="0"/>
    <n v="0"/>
    <n v="0"/>
    <n v="0"/>
    <d v="2022-04-01T00:00:00"/>
    <s v="Broome Logistics Hub|2022-04"/>
  </r>
  <r>
    <s v="INC-0109"/>
    <d v="2024-02-20T00:00:00"/>
    <x v="2"/>
    <n v="2"/>
    <s v="February"/>
    <s v="Q1"/>
    <x v="3"/>
    <s v="Maintenance"/>
    <x v="3"/>
    <s v="Recordable"/>
    <s v="Knee"/>
    <x v="9"/>
    <s v="Afternoon"/>
    <n v="0"/>
    <s v="Extreme Heat"/>
    <x v="0"/>
    <s v="Priya Nair"/>
    <s v="Closed"/>
    <s v="Complete"/>
    <n v="9"/>
    <n v="75818"/>
    <n v="1"/>
    <n v="0"/>
    <n v="0"/>
    <n v="0"/>
    <d v="2024-02-01T00:00:00"/>
    <s v="Broome Logistics Hub|2024-02"/>
  </r>
  <r>
    <s v="INC-0110"/>
    <d v="2023-12-21T00:00:00"/>
    <x v="0"/>
    <n v="12"/>
    <s v="December"/>
    <s v="Q4"/>
    <x v="2"/>
    <s v="Logistics"/>
    <x v="2"/>
    <s v="Non-Recordable"/>
    <s v="Nil (No Injury)"/>
    <x v="4"/>
    <s v="Day"/>
    <n v="0"/>
    <s v="Clear"/>
    <x v="0"/>
    <s v="Priya Nair"/>
    <s v="Open"/>
    <s v="Complete"/>
    <n v="9"/>
    <n v="44018"/>
    <n v="0"/>
    <n v="0"/>
    <n v="0"/>
    <n v="0"/>
    <d v="2023-12-01T00:00:00"/>
    <s v="Pilbara Crusher Plant|2023-12"/>
  </r>
  <r>
    <s v="INC-0111"/>
    <d v="2022-04-04T00:00:00"/>
    <x v="1"/>
    <n v="4"/>
    <s v="April"/>
    <s v="Q2"/>
    <x v="3"/>
    <s v="Maintenance"/>
    <x v="4"/>
    <s v="Non-Recordable"/>
    <s v="Nil (No Injury)"/>
    <x v="2"/>
    <s v="Night"/>
    <n v="0"/>
    <s v="Rain"/>
    <x v="2"/>
    <s v="Mark Daniels"/>
    <s v="Closed"/>
    <s v="Complete"/>
    <n v="10"/>
    <n v="114395"/>
    <n v="0"/>
    <n v="0"/>
    <n v="0"/>
    <n v="0"/>
    <d v="2022-04-01T00:00:00"/>
    <s v="Broome Logistics Hub|2022-04"/>
  </r>
  <r>
    <s v="INC-0112"/>
    <d v="2023-09-03T00:00:00"/>
    <x v="0"/>
    <n v="9"/>
    <s v="September"/>
    <s v="Q3"/>
    <x v="0"/>
    <s v="Maintenance"/>
    <x v="0"/>
    <s v="Non-Recordable"/>
    <s v="Nil (No Injury)"/>
    <x v="6"/>
    <s v="Afternoon"/>
    <n v="0"/>
    <s v="Clear"/>
    <x v="0"/>
    <s v="Sarah Chen"/>
    <s v="Open"/>
    <s v="Overdue"/>
    <n v="11"/>
    <n v="119570"/>
    <n v="0"/>
    <n v="0"/>
    <n v="0"/>
    <n v="0"/>
    <d v="2023-09-01T00:00:00"/>
    <s v="Thunderbird Mine|2023-09"/>
  </r>
  <r>
    <s v="INC-0113"/>
    <d v="2022-10-07T00:00:00"/>
    <x v="1"/>
    <n v="10"/>
    <s v="October"/>
    <s v="Q4"/>
    <x v="3"/>
    <s v="Mining Operations"/>
    <x v="1"/>
    <s v="Non-Recordable"/>
    <s v="Shoulder"/>
    <x v="2"/>
    <s v="Day"/>
    <n v="0"/>
    <s v="Clear"/>
    <x v="1"/>
    <s v="Priya Nair"/>
    <s v="Closed"/>
    <s v="Complete"/>
    <n v="9"/>
    <n v="91807"/>
    <n v="0"/>
    <n v="0"/>
    <n v="0"/>
    <n v="0"/>
    <d v="2022-10-01T00:00:00"/>
    <s v="Broome Logistics Hub|2022-10"/>
  </r>
  <r>
    <s v="INC-0114"/>
    <d v="2023-09-06T00:00:00"/>
    <x v="0"/>
    <n v="9"/>
    <s v="September"/>
    <s v="Q3"/>
    <x v="0"/>
    <s v="Maintenance"/>
    <x v="0"/>
    <s v="Non-Recordable"/>
    <s v="Nil (No Injury)"/>
    <x v="0"/>
    <s v="Day"/>
    <n v="0"/>
    <s v="Overcast"/>
    <x v="0"/>
    <s v="Sarah Chen"/>
    <s v="Closed"/>
    <s v="Complete"/>
    <n v="8"/>
    <n v="41013"/>
    <n v="0"/>
    <n v="0"/>
    <n v="0"/>
    <n v="0"/>
    <d v="2023-09-01T00:00:00"/>
    <s v="Thunderbird Mine|2023-09"/>
  </r>
  <r>
    <s v="INC-0115"/>
    <d v="2023-03-17T00:00:00"/>
    <x v="0"/>
    <n v="3"/>
    <s v="March"/>
    <s v="Q1"/>
    <x v="1"/>
    <s v="Processing"/>
    <x v="1"/>
    <s v="Non-Recordable"/>
    <s v="Nil (No Injury)"/>
    <x v="8"/>
    <s v="Afternoon"/>
    <n v="0"/>
    <s v="Extreme Heat"/>
    <x v="2"/>
    <s v="Jo Smith"/>
    <s v="Open"/>
    <s v="Complete"/>
    <n v="11"/>
    <n v="42456"/>
    <n v="0"/>
    <n v="0"/>
    <n v="0"/>
    <n v="0"/>
    <d v="2023-03-01T00:00:00"/>
    <s v="Darwin Port Facility|2023-03"/>
  </r>
  <r>
    <s v="INC-0116"/>
    <d v="2023-04-16T00:00:00"/>
    <x v="0"/>
    <n v="4"/>
    <s v="April"/>
    <s v="Q2"/>
    <x v="2"/>
    <s v="Construction"/>
    <x v="0"/>
    <s v="Non-Recordable"/>
    <s v="Nil (No Injury)"/>
    <x v="2"/>
    <s v="Afternoon"/>
    <n v="0"/>
    <s v="Rain"/>
    <x v="1"/>
    <s v="Sarah Chen"/>
    <s v="Closed"/>
    <s v="Overdue"/>
    <n v="8"/>
    <n v="82568"/>
    <n v="0"/>
    <n v="0"/>
    <n v="0"/>
    <n v="0"/>
    <d v="2023-04-01T00:00:00"/>
    <s v="Pilbara Crusher Plant|2023-04"/>
  </r>
  <r>
    <s v="INC-0117"/>
    <d v="2023-09-25T00:00:00"/>
    <x v="0"/>
    <n v="9"/>
    <s v="September"/>
    <s v="Q3"/>
    <x v="2"/>
    <s v="Mining Operations"/>
    <x v="6"/>
    <s v="Recordable"/>
    <s v="Knee"/>
    <x v="3"/>
    <s v="Day"/>
    <n v="27"/>
    <s v="Rain"/>
    <x v="1"/>
    <s v="Priya Nair"/>
    <s v="Closed"/>
    <s v="Overdue"/>
    <n v="10"/>
    <n v="84500"/>
    <n v="1"/>
    <n v="0"/>
    <n v="0"/>
    <n v="1"/>
    <d v="2023-09-01T00:00:00"/>
    <s v="Pilbara Crusher Plant|2023-09"/>
  </r>
  <r>
    <s v="INC-0118"/>
    <d v="2024-03-08T00:00:00"/>
    <x v="2"/>
    <n v="3"/>
    <s v="March"/>
    <s v="Q1"/>
    <x v="0"/>
    <s v="Construction"/>
    <x v="1"/>
    <s v="Non-Recordable"/>
    <s v="Back/Spine"/>
    <x v="9"/>
    <s v="Afternoon"/>
    <n v="0"/>
    <s v="Clear"/>
    <x v="2"/>
    <s v="Sarah Chen"/>
    <s v="Closed"/>
    <s v="Complete"/>
    <n v="8"/>
    <n v="59194"/>
    <n v="0"/>
    <n v="0"/>
    <n v="0"/>
    <n v="0"/>
    <d v="2024-03-01T00:00:00"/>
    <s v="Thunderbird Mine|2024-03"/>
  </r>
  <r>
    <s v="INC-0119"/>
    <d v="2022-09-20T00:00:00"/>
    <x v="1"/>
    <n v="9"/>
    <s v="September"/>
    <s v="Q3"/>
    <x v="1"/>
    <s v="Construction"/>
    <x v="1"/>
    <s v="Non-Recordable"/>
    <s v="Foot/Ankle"/>
    <x v="3"/>
    <s v="Day"/>
    <n v="0"/>
    <s v="Overcast"/>
    <x v="1"/>
    <s v="David Torres"/>
    <s v="In Progress"/>
    <s v="Pending"/>
    <n v="11"/>
    <n v="113989"/>
    <n v="0"/>
    <n v="0"/>
    <n v="0"/>
    <n v="0"/>
    <d v="2022-09-01T00:00:00"/>
    <s v="Darwin Port Facility|2022-09"/>
  </r>
  <r>
    <s v="INC-0120"/>
    <d v="2023-10-21T00:00:00"/>
    <x v="0"/>
    <n v="10"/>
    <s v="October"/>
    <s v="Q4"/>
    <x v="3"/>
    <s v="Logistics"/>
    <x v="4"/>
    <s v="Non-Recordable"/>
    <s v="Nil (No Injury)"/>
    <x v="4"/>
    <s v="Day"/>
    <n v="0"/>
    <s v="Rain"/>
    <x v="0"/>
    <s v="David Torres"/>
    <s v="Open"/>
    <s v="Complete"/>
    <n v="10"/>
    <n v="117518"/>
    <n v="0"/>
    <n v="0"/>
    <n v="0"/>
    <n v="0"/>
    <d v="2023-10-01T00:00:00"/>
    <s v="Broome Logistics Hub|2023-10"/>
  </r>
  <r>
    <s v="INC-0121"/>
    <d v="2022-02-27T00:00:00"/>
    <x v="1"/>
    <n v="2"/>
    <s v="February"/>
    <s v="Q1"/>
    <x v="3"/>
    <s v="Mining Operations"/>
    <x v="3"/>
    <s v="Recordable"/>
    <s v="Head"/>
    <x v="5"/>
    <s v="Night"/>
    <n v="0"/>
    <s v="Clear"/>
    <x v="0"/>
    <s v="Sarah Chen"/>
    <s v="Closed"/>
    <s v="Complete"/>
    <n v="8"/>
    <n v="117867"/>
    <n v="1"/>
    <n v="0"/>
    <n v="0"/>
    <n v="0"/>
    <d v="2022-02-01T00:00:00"/>
    <s v="Broome Logistics Hub|2022-02"/>
  </r>
  <r>
    <s v="INC-0122"/>
    <d v="2023-06-04T00:00:00"/>
    <x v="0"/>
    <n v="6"/>
    <s v="June"/>
    <s v="Q2"/>
    <x v="3"/>
    <s v="Construction"/>
    <x v="6"/>
    <s v="Recordable"/>
    <s v="Hand/Fingers"/>
    <x v="5"/>
    <s v="Afternoon"/>
    <n v="15"/>
    <s v="Wind"/>
    <x v="0"/>
    <s v="Sarah Chen"/>
    <s v="In Progress"/>
    <s v="Overdue"/>
    <n v="12"/>
    <n v="59773"/>
    <n v="1"/>
    <n v="0"/>
    <n v="1"/>
    <n v="1"/>
    <d v="2023-06-01T00:00:00"/>
    <s v="Broome Logistics Hub|2023-06"/>
  </r>
  <r>
    <s v="INC-0123"/>
    <d v="2023-04-07T00:00:00"/>
    <x v="0"/>
    <n v="4"/>
    <s v="April"/>
    <s v="Q2"/>
    <x v="2"/>
    <s v="Administration"/>
    <x v="0"/>
    <s v="Non-Recordable"/>
    <s v="Nil (No Injury)"/>
    <x v="3"/>
    <s v="Afternoon"/>
    <n v="0"/>
    <s v="Wind"/>
    <x v="0"/>
    <s v="Jo Smith"/>
    <s v="Closed"/>
    <s v="Overdue"/>
    <n v="11"/>
    <n v="108690"/>
    <n v="0"/>
    <n v="0"/>
    <n v="0"/>
    <n v="0"/>
    <d v="2023-04-01T00:00:00"/>
    <s v="Pilbara Crusher Plant|2023-04"/>
  </r>
  <r>
    <s v="INC-0124"/>
    <d v="2022-06-12T00:00:00"/>
    <x v="1"/>
    <n v="6"/>
    <s v="June"/>
    <s v="Q2"/>
    <x v="2"/>
    <s v="Logistics"/>
    <x v="3"/>
    <s v="Recordable"/>
    <s v="Knee"/>
    <x v="2"/>
    <s v="Night"/>
    <n v="0"/>
    <s v="Wind"/>
    <x v="0"/>
    <s v="Sarah Chen"/>
    <s v="Closed"/>
    <s v="Complete"/>
    <n v="8"/>
    <n v="113133"/>
    <n v="1"/>
    <n v="0"/>
    <n v="0"/>
    <n v="0"/>
    <d v="2022-06-01T00:00:00"/>
    <s v="Pilbara Crusher Plant|2022-06"/>
  </r>
  <r>
    <s v="INC-0125"/>
    <d v="2023-11-26T00:00:00"/>
    <x v="0"/>
    <n v="11"/>
    <s v="November"/>
    <s v="Q4"/>
    <x v="2"/>
    <s v="Administration"/>
    <x v="6"/>
    <s v="Recordable"/>
    <s v="Nil (No Injury)"/>
    <x v="6"/>
    <s v="Night"/>
    <n v="10"/>
    <s v="Clear"/>
    <x v="0"/>
    <s v="Sarah Chen"/>
    <s v="Closed"/>
    <s v="Overdue"/>
    <n v="9"/>
    <n v="117993"/>
    <n v="1"/>
    <n v="0"/>
    <n v="1"/>
    <n v="1"/>
    <d v="2023-11-01T00:00:00"/>
    <s v="Pilbara Crusher Plant|2023-11"/>
  </r>
  <r>
    <s v="INC-0126"/>
    <d v="2022-03-28T00:00:00"/>
    <x v="1"/>
    <n v="3"/>
    <s v="March"/>
    <s v="Q1"/>
    <x v="3"/>
    <s v="Processing"/>
    <x v="3"/>
    <s v="Recordable"/>
    <s v="Shoulder"/>
    <x v="6"/>
    <s v="Afternoon"/>
    <n v="0"/>
    <s v="Wind"/>
    <x v="0"/>
    <s v="David Torres"/>
    <s v="In Progress"/>
    <s v="Complete"/>
    <n v="8"/>
    <n v="87526"/>
    <n v="1"/>
    <n v="0"/>
    <n v="0"/>
    <n v="0"/>
    <d v="2022-03-01T00:00:00"/>
    <s v="Broome Logistics Hub|2022-03"/>
  </r>
  <r>
    <s v="INC-0127"/>
    <d v="2022-11-13T00:00:00"/>
    <x v="1"/>
    <n v="11"/>
    <s v="November"/>
    <s v="Q4"/>
    <x v="1"/>
    <s v="Logistics"/>
    <x v="1"/>
    <s v="Non-Recordable"/>
    <s v="Nil (No Injury)"/>
    <x v="8"/>
    <s v="Day"/>
    <n v="0"/>
    <s v="Clear"/>
    <x v="0"/>
    <s v="Jo Smith"/>
    <s v="Closed"/>
    <s v="Complete"/>
    <n v="12"/>
    <n v="110748"/>
    <n v="0"/>
    <n v="0"/>
    <n v="0"/>
    <n v="0"/>
    <d v="2022-11-01T00:00:00"/>
    <s v="Darwin Port Facility|2022-11"/>
  </r>
  <r>
    <s v="INC-0128"/>
    <d v="2024-05-05T00:00:00"/>
    <x v="2"/>
    <n v="5"/>
    <s v="May"/>
    <s v="Q2"/>
    <x v="3"/>
    <s v="Mining Operations"/>
    <x v="4"/>
    <s v="Non-Recordable"/>
    <s v="Nil (No Injury)"/>
    <x v="4"/>
    <s v="Afternoon"/>
    <n v="0"/>
    <s v="Clear"/>
    <x v="1"/>
    <s v="Mark Daniels"/>
    <s v="Closed"/>
    <s v="Complete"/>
    <n v="12"/>
    <n v="61697"/>
    <n v="0"/>
    <n v="0"/>
    <n v="0"/>
    <n v="0"/>
    <d v="2024-05-01T00:00:00"/>
    <s v="Broome Logistics Hub|2024-05"/>
  </r>
  <r>
    <s v="INC-0129"/>
    <d v="2024-01-09T00:00:00"/>
    <x v="2"/>
    <n v="1"/>
    <s v="January"/>
    <s v="Q1"/>
    <x v="4"/>
    <s v="Logistics"/>
    <x v="6"/>
    <s v="Recordable"/>
    <s v="Eye"/>
    <x v="5"/>
    <s v="Afternoon"/>
    <n v="2"/>
    <s v="Clear"/>
    <x v="1"/>
    <s v="Mark Daniels"/>
    <s v="In Progress"/>
    <s v="Complete"/>
    <n v="10"/>
    <n v="101474"/>
    <n v="1"/>
    <n v="0"/>
    <n v="1"/>
    <n v="1"/>
    <d v="2024-01-01T00:00:00"/>
    <s v="Katherine Processing Site|2024-01"/>
  </r>
  <r>
    <s v="INC-0130"/>
    <d v="2022-07-18T00:00:00"/>
    <x v="1"/>
    <n v="7"/>
    <s v="July"/>
    <s v="Q3"/>
    <x v="3"/>
    <s v="Processing"/>
    <x v="3"/>
    <s v="Recordable"/>
    <s v="Nil (No Injury)"/>
    <x v="0"/>
    <s v="Night"/>
    <n v="0"/>
    <s v="Extreme Heat"/>
    <x v="1"/>
    <s v="Mark Daniels"/>
    <s v="Closed"/>
    <s v="Pending"/>
    <n v="9"/>
    <n v="72768"/>
    <n v="1"/>
    <n v="0"/>
    <n v="0"/>
    <n v="0"/>
    <d v="2022-07-01T00:00:00"/>
    <s v="Broome Logistics Hub|2022-07"/>
  </r>
  <r>
    <s v="INC-0131"/>
    <d v="2022-02-23T00:00:00"/>
    <x v="1"/>
    <n v="2"/>
    <s v="February"/>
    <s v="Q1"/>
    <x v="4"/>
    <s v="Logistics"/>
    <x v="4"/>
    <s v="Non-Recordable"/>
    <s v="Nil (No Injury)"/>
    <x v="9"/>
    <s v="Day"/>
    <n v="0"/>
    <s v="Wind"/>
    <x v="0"/>
    <s v="Sarah Chen"/>
    <s v="Closed"/>
    <s v="Complete"/>
    <n v="10"/>
    <n v="98893"/>
    <n v="0"/>
    <n v="0"/>
    <n v="0"/>
    <n v="0"/>
    <d v="2022-02-01T00:00:00"/>
    <s v="Katherine Processing Site|2022-02"/>
  </r>
  <r>
    <s v="INC-0132"/>
    <d v="2023-06-10T00:00:00"/>
    <x v="0"/>
    <n v="6"/>
    <s v="June"/>
    <s v="Q2"/>
    <x v="4"/>
    <s v="Mining Operations"/>
    <x v="1"/>
    <s v="Non-Recordable"/>
    <s v="Eye"/>
    <x v="5"/>
    <s v="Night"/>
    <n v="0"/>
    <s v="Clear"/>
    <x v="1"/>
    <s v="Jo Smith"/>
    <s v="Open"/>
    <s v="Pending"/>
    <n v="10"/>
    <n v="70903"/>
    <n v="0"/>
    <n v="0"/>
    <n v="0"/>
    <n v="0"/>
    <d v="2023-06-01T00:00:00"/>
    <s v="Katherine Processing Site|2023-06"/>
  </r>
  <r>
    <s v="INC-0133"/>
    <d v="2023-01-31T00:00:00"/>
    <x v="0"/>
    <n v="1"/>
    <s v="January"/>
    <s v="Q1"/>
    <x v="2"/>
    <s v="Maintenance"/>
    <x v="0"/>
    <s v="Non-Recordable"/>
    <s v="Nil (No Injury)"/>
    <x v="1"/>
    <s v="Night"/>
    <n v="0"/>
    <s v="Clear"/>
    <x v="2"/>
    <s v="Mark Daniels"/>
    <s v="Closed"/>
    <s v="Complete"/>
    <n v="10"/>
    <n v="101925"/>
    <n v="0"/>
    <n v="0"/>
    <n v="0"/>
    <n v="0"/>
    <d v="2023-01-01T00:00:00"/>
    <s v="Pilbara Crusher Plant|2023-01"/>
  </r>
  <r>
    <s v="INC-0134"/>
    <d v="2022-05-23T00:00:00"/>
    <x v="1"/>
    <n v="5"/>
    <s v="May"/>
    <s v="Q2"/>
    <x v="4"/>
    <s v="Processing"/>
    <x v="2"/>
    <s v="Non-Recordable"/>
    <s v="Nil (No Injury)"/>
    <x v="7"/>
    <s v="Day"/>
    <n v="0"/>
    <s v="Clear"/>
    <x v="0"/>
    <s v="Sarah Chen"/>
    <s v="Closed"/>
    <s v="Complete"/>
    <n v="12"/>
    <n v="119807"/>
    <n v="0"/>
    <n v="0"/>
    <n v="0"/>
    <n v="0"/>
    <d v="2022-05-01T00:00:00"/>
    <s v="Katherine Processing Site|2022-05"/>
  </r>
  <r>
    <s v="INC-0135"/>
    <d v="2023-06-25T00:00:00"/>
    <x v="0"/>
    <n v="6"/>
    <s v="June"/>
    <s v="Q2"/>
    <x v="2"/>
    <s v="Maintenance"/>
    <x v="6"/>
    <s v="Recordable"/>
    <s v="Head"/>
    <x v="3"/>
    <s v="Day"/>
    <n v="4"/>
    <s v="Clear"/>
    <x v="1"/>
    <s v="Priya Nair"/>
    <s v="Open"/>
    <s v="Complete"/>
    <n v="8"/>
    <n v="105513"/>
    <n v="1"/>
    <n v="0"/>
    <n v="0"/>
    <n v="1"/>
    <d v="2023-06-01T00:00:00"/>
    <s v="Pilbara Crusher Plant|2023-06"/>
  </r>
  <r>
    <s v="INC-0136"/>
    <d v="2022-01-17T00:00:00"/>
    <x v="1"/>
    <n v="1"/>
    <s v="January"/>
    <s v="Q1"/>
    <x v="3"/>
    <s v="Construction"/>
    <x v="4"/>
    <s v="Non-Recordable"/>
    <s v="Nil (No Injury)"/>
    <x v="8"/>
    <s v="Afternoon"/>
    <n v="0"/>
    <s v="Clear"/>
    <x v="2"/>
    <s v="David Torres"/>
    <s v="Closed"/>
    <s v="Pending"/>
    <n v="10"/>
    <n v="71531"/>
    <n v="0"/>
    <n v="0"/>
    <n v="0"/>
    <n v="0"/>
    <d v="2022-01-01T00:00:00"/>
    <s v="Broome Logistics Hub|2022-01"/>
  </r>
  <r>
    <s v="INC-0137"/>
    <d v="2023-08-08T00:00:00"/>
    <x v="0"/>
    <n v="8"/>
    <s v="August"/>
    <s v="Q3"/>
    <x v="0"/>
    <s v="Construction"/>
    <x v="6"/>
    <s v="Recordable"/>
    <s v="Shoulder"/>
    <x v="3"/>
    <s v="Afternoon"/>
    <n v="6"/>
    <s v="Extreme Heat"/>
    <x v="0"/>
    <s v="David Torres"/>
    <s v="Open"/>
    <s v="Complete"/>
    <n v="11"/>
    <n v="88929"/>
    <n v="1"/>
    <n v="0"/>
    <n v="0"/>
    <n v="1"/>
    <d v="2023-08-01T00:00:00"/>
    <s v="Thunderbird Mine|2023-08"/>
  </r>
  <r>
    <s v="INC-0138"/>
    <d v="2022-01-17T00:00:00"/>
    <x v="1"/>
    <n v="1"/>
    <s v="January"/>
    <s v="Q1"/>
    <x v="0"/>
    <s v="Logistics"/>
    <x v="3"/>
    <s v="Recordable"/>
    <s v="Eye"/>
    <x v="3"/>
    <s v="Afternoon"/>
    <n v="0"/>
    <s v="Wind"/>
    <x v="2"/>
    <s v="Mark Daniels"/>
    <s v="Closed"/>
    <s v="Complete"/>
    <n v="12"/>
    <n v="84374"/>
    <n v="1"/>
    <n v="0"/>
    <n v="0"/>
    <n v="0"/>
    <d v="2022-01-01T00:00:00"/>
    <s v="Thunderbird Mine|2022-01"/>
  </r>
  <r>
    <s v="INC-0139"/>
    <d v="2024-04-13T00:00:00"/>
    <x v="2"/>
    <n v="4"/>
    <s v="April"/>
    <s v="Q2"/>
    <x v="1"/>
    <s v="Administration"/>
    <x v="4"/>
    <s v="Non-Recordable"/>
    <s v="Nil (No Injury)"/>
    <x v="5"/>
    <s v="Afternoon"/>
    <n v="0"/>
    <s v="Rain"/>
    <x v="0"/>
    <s v="Mark Daniels"/>
    <s v="Closed"/>
    <s v="Overdue"/>
    <n v="8"/>
    <n v="78462"/>
    <n v="0"/>
    <n v="0"/>
    <n v="0"/>
    <n v="0"/>
    <d v="2024-04-01T00:00:00"/>
    <s v="Darwin Port Facility|2024-04"/>
  </r>
  <r>
    <s v="INC-0140"/>
    <d v="2022-07-26T00:00:00"/>
    <x v="1"/>
    <n v="7"/>
    <s v="July"/>
    <s v="Q3"/>
    <x v="1"/>
    <s v="Mining Operations"/>
    <x v="0"/>
    <s v="Non-Recordable"/>
    <s v="Nil (No Injury)"/>
    <x v="4"/>
    <s v="Night"/>
    <n v="0"/>
    <s v="Extreme Heat"/>
    <x v="1"/>
    <s v="Priya Nair"/>
    <s v="Open"/>
    <s v="Complete"/>
    <n v="8"/>
    <n v="65048"/>
    <n v="0"/>
    <n v="0"/>
    <n v="0"/>
    <n v="0"/>
    <d v="2022-07-01T00:00:00"/>
    <s v="Darwin Port Facility|2022-07"/>
  </r>
  <r>
    <s v="INC-0141"/>
    <d v="2024-06-01T00:00:00"/>
    <x v="2"/>
    <n v="6"/>
    <s v="June"/>
    <s v="Q2"/>
    <x v="0"/>
    <s v="Administration"/>
    <x v="2"/>
    <s v="Non-Recordable"/>
    <s v="Nil (No Injury)"/>
    <x v="4"/>
    <s v="Night"/>
    <n v="0"/>
    <s v="Clear"/>
    <x v="2"/>
    <s v="David Torres"/>
    <s v="Open"/>
    <s v="Overdue"/>
    <n v="11"/>
    <n v="84438"/>
    <n v="0"/>
    <n v="0"/>
    <n v="0"/>
    <n v="0"/>
    <d v="2024-06-01T00:00:00"/>
    <s v="Thunderbird Mine|2024-06"/>
  </r>
  <r>
    <s v="INC-0142"/>
    <d v="2022-07-11T00:00:00"/>
    <x v="1"/>
    <n v="7"/>
    <s v="July"/>
    <s v="Q3"/>
    <x v="4"/>
    <s v="Logistics"/>
    <x v="6"/>
    <s v="Recordable"/>
    <s v="Nil (No Injury)"/>
    <x v="0"/>
    <s v="Day"/>
    <n v="23"/>
    <s v="Wind"/>
    <x v="1"/>
    <s v="Jo Smith"/>
    <s v="Open"/>
    <s v="Pending"/>
    <n v="9"/>
    <n v="111496"/>
    <n v="1"/>
    <n v="0"/>
    <n v="0"/>
    <n v="1"/>
    <d v="2022-07-01T00:00:00"/>
    <s v="Katherine Processing Site|2022-07"/>
  </r>
  <r>
    <s v="INC-0143"/>
    <d v="2022-04-16T00:00:00"/>
    <x v="1"/>
    <n v="4"/>
    <s v="April"/>
    <s v="Q2"/>
    <x v="2"/>
    <s v="Administration"/>
    <x v="0"/>
    <s v="Non-Recordable"/>
    <s v="Nil (No Injury)"/>
    <x v="0"/>
    <s v="Night"/>
    <n v="0"/>
    <s v="Rain"/>
    <x v="1"/>
    <s v="Mark Daniels"/>
    <s v="Open"/>
    <s v="Complete"/>
    <n v="11"/>
    <n v="45551"/>
    <n v="0"/>
    <n v="0"/>
    <n v="1"/>
    <n v="0"/>
    <d v="2022-04-01T00:00:00"/>
    <s v="Pilbara Crusher Plant|2022-04"/>
  </r>
  <r>
    <s v="INC-0144"/>
    <d v="2022-12-28T00:00:00"/>
    <x v="1"/>
    <n v="12"/>
    <s v="December"/>
    <s v="Q4"/>
    <x v="4"/>
    <s v="Logistics"/>
    <x v="5"/>
    <s v="Non-Recordable"/>
    <s v="Nil (No Injury)"/>
    <x v="1"/>
    <s v="Day"/>
    <n v="0"/>
    <s v="Wind"/>
    <x v="1"/>
    <s v="Sarah Chen"/>
    <s v="In Progress"/>
    <s v="Complete"/>
    <n v="8"/>
    <n v="58714"/>
    <n v="0"/>
    <n v="0"/>
    <n v="0"/>
    <n v="0"/>
    <d v="2022-12-01T00:00:00"/>
    <s v="Katherine Processing Site|2022-12"/>
  </r>
  <r>
    <s v="INC-0145"/>
    <d v="2024-05-19T00:00:00"/>
    <x v="2"/>
    <n v="5"/>
    <s v="May"/>
    <s v="Q2"/>
    <x v="4"/>
    <s v="Mining Operations"/>
    <x v="5"/>
    <s v="Non-Recordable"/>
    <s v="Nil (No Injury)"/>
    <x v="6"/>
    <s v="Day"/>
    <n v="0"/>
    <s v="Clear"/>
    <x v="2"/>
    <s v="Sarah Chen"/>
    <s v="Open"/>
    <s v="Pending"/>
    <n v="8"/>
    <n v="119310"/>
    <n v="0"/>
    <n v="0"/>
    <n v="0"/>
    <n v="0"/>
    <d v="2024-05-01T00:00:00"/>
    <s v="Katherine Processing Site|2024-05"/>
  </r>
  <r>
    <s v="INC-0146"/>
    <d v="2022-06-07T00:00:00"/>
    <x v="1"/>
    <n v="6"/>
    <s v="June"/>
    <s v="Q2"/>
    <x v="4"/>
    <s v="Logistics"/>
    <x v="4"/>
    <s v="Non-Recordable"/>
    <s v="Nil (No Injury)"/>
    <x v="4"/>
    <s v="Night"/>
    <n v="0"/>
    <s v="Overcast"/>
    <x v="0"/>
    <s v="Priya Nair"/>
    <s v="Closed"/>
    <s v="Pending"/>
    <n v="10"/>
    <n v="92171"/>
    <n v="0"/>
    <n v="0"/>
    <n v="0"/>
    <n v="0"/>
    <d v="2022-06-01T00:00:00"/>
    <s v="Katherine Processing Site|2022-06"/>
  </r>
  <r>
    <s v="INC-0147"/>
    <d v="2022-11-18T00:00:00"/>
    <x v="1"/>
    <n v="11"/>
    <s v="November"/>
    <s v="Q4"/>
    <x v="2"/>
    <s v="Maintenance"/>
    <x v="4"/>
    <s v="Non-Recordable"/>
    <s v="Nil (No Injury)"/>
    <x v="3"/>
    <s v="Day"/>
    <n v="0"/>
    <s v="Wind"/>
    <x v="0"/>
    <s v="David Torres"/>
    <s v="In Progress"/>
    <s v="Overdue"/>
    <n v="12"/>
    <n v="55435"/>
    <n v="0"/>
    <n v="0"/>
    <n v="0"/>
    <n v="0"/>
    <d v="2022-11-01T00:00:00"/>
    <s v="Pilbara Crusher Plant|2022-11"/>
  </r>
  <r>
    <s v="INC-0148"/>
    <d v="2022-09-26T00:00:00"/>
    <x v="1"/>
    <n v="9"/>
    <s v="September"/>
    <s v="Q3"/>
    <x v="2"/>
    <s v="Administration"/>
    <x v="2"/>
    <s v="Non-Recordable"/>
    <s v="Nil (No Injury)"/>
    <x v="5"/>
    <s v="Day"/>
    <n v="0"/>
    <s v="Extreme Heat"/>
    <x v="2"/>
    <s v="David Torres"/>
    <s v="Closed"/>
    <s v="Complete"/>
    <n v="9"/>
    <n v="49706"/>
    <n v="0"/>
    <n v="0"/>
    <n v="0"/>
    <n v="0"/>
    <d v="2022-09-01T00:00:00"/>
    <s v="Pilbara Crusher Plant|2022-09"/>
  </r>
  <r>
    <s v="INC-0149"/>
    <d v="2023-04-08T00:00:00"/>
    <x v="0"/>
    <n v="4"/>
    <s v="April"/>
    <s v="Q2"/>
    <x v="4"/>
    <s v="Mining Operations"/>
    <x v="1"/>
    <s v="Non-Recordable"/>
    <s v="Shoulder"/>
    <x v="4"/>
    <s v="Afternoon"/>
    <n v="0"/>
    <s v="Clear"/>
    <x v="2"/>
    <s v="Sarah Chen"/>
    <s v="Closed"/>
    <s v="Complete"/>
    <n v="10"/>
    <n v="106683"/>
    <n v="0"/>
    <n v="0"/>
    <n v="0"/>
    <n v="0"/>
    <d v="2023-04-01T00:00:00"/>
    <s v="Katherine Processing Site|2023-04"/>
  </r>
  <r>
    <s v="INC-0150"/>
    <d v="2022-08-18T00:00:00"/>
    <x v="1"/>
    <n v="8"/>
    <s v="August"/>
    <s v="Q3"/>
    <x v="1"/>
    <s v="Maintenance"/>
    <x v="0"/>
    <s v="Non-Recordable"/>
    <s v="Nil (No Injury)"/>
    <x v="8"/>
    <s v="Night"/>
    <n v="0"/>
    <s v="Clear"/>
    <x v="2"/>
    <s v="Priya Nair"/>
    <s v="In Progress"/>
    <s v="Complete"/>
    <n v="11"/>
    <n v="112305"/>
    <n v="0"/>
    <n v="0"/>
    <n v="0"/>
    <n v="0"/>
    <d v="2022-08-01T00:00:00"/>
    <s v="Darwin Port Facility|2022-08"/>
  </r>
  <r>
    <s v="INC-0151"/>
    <d v="2022-03-30T00:00:00"/>
    <x v="1"/>
    <n v="3"/>
    <s v="March"/>
    <s v="Q1"/>
    <x v="2"/>
    <s v="Processing"/>
    <x v="0"/>
    <s v="Non-Recordable"/>
    <s v="Nil (No Injury)"/>
    <x v="5"/>
    <s v="Afternoon"/>
    <n v="0"/>
    <s v="Rain"/>
    <x v="1"/>
    <s v="Priya Nair"/>
    <s v="Closed"/>
    <s v="Complete"/>
    <n v="10"/>
    <n v="49720"/>
    <n v="0"/>
    <n v="0"/>
    <n v="0"/>
    <n v="0"/>
    <d v="2022-03-01T00:00:00"/>
    <s v="Pilbara Crusher Plant|2022-03"/>
  </r>
  <r>
    <s v="INC-0152"/>
    <d v="2023-11-28T00:00:00"/>
    <x v="0"/>
    <n v="11"/>
    <s v="November"/>
    <s v="Q4"/>
    <x v="2"/>
    <s v="Maintenance"/>
    <x v="5"/>
    <s v="Non-Recordable"/>
    <s v="Nil (No Injury)"/>
    <x v="9"/>
    <s v="Afternoon"/>
    <n v="0"/>
    <s v="Extreme Heat"/>
    <x v="0"/>
    <s v="Mark Daniels"/>
    <s v="Open"/>
    <s v="Pending"/>
    <n v="8"/>
    <n v="56274"/>
    <n v="0"/>
    <n v="0"/>
    <n v="0"/>
    <n v="0"/>
    <d v="2023-11-01T00:00:00"/>
    <s v="Pilbara Crusher Plant|2023-11"/>
  </r>
  <r>
    <s v="INC-0153"/>
    <d v="2023-06-15T00:00:00"/>
    <x v="0"/>
    <n v="6"/>
    <s v="June"/>
    <s v="Q2"/>
    <x v="2"/>
    <s v="Maintenance"/>
    <x v="1"/>
    <s v="Non-Recordable"/>
    <s v="Foot/Ankle"/>
    <x v="4"/>
    <s v="Afternoon"/>
    <n v="0"/>
    <s v="Clear"/>
    <x v="2"/>
    <s v="Priya Nair"/>
    <s v="Closed"/>
    <s v="Complete"/>
    <n v="10"/>
    <n v="65729"/>
    <n v="0"/>
    <n v="0"/>
    <n v="0"/>
    <n v="0"/>
    <d v="2023-06-01T00:00:00"/>
    <s v="Pilbara Crusher Plant|2023-06"/>
  </r>
  <r>
    <s v="INC-0154"/>
    <d v="2023-10-13T00:00:00"/>
    <x v="0"/>
    <n v="10"/>
    <s v="October"/>
    <s v="Q4"/>
    <x v="2"/>
    <s v="Maintenance"/>
    <x v="5"/>
    <s v="Non-Recordable"/>
    <s v="Nil (No Injury)"/>
    <x v="0"/>
    <s v="Afternoon"/>
    <n v="0"/>
    <s v="Extreme Heat"/>
    <x v="0"/>
    <s v="Priya Nair"/>
    <s v="Closed"/>
    <s v="Pending"/>
    <n v="12"/>
    <n v="60210"/>
    <n v="0"/>
    <n v="0"/>
    <n v="0"/>
    <n v="0"/>
    <d v="2023-10-01T00:00:00"/>
    <s v="Pilbara Crusher Plant|2023-10"/>
  </r>
  <r>
    <s v="INC-0155"/>
    <d v="2022-06-25T00:00:00"/>
    <x v="1"/>
    <n v="6"/>
    <s v="June"/>
    <s v="Q2"/>
    <x v="3"/>
    <s v="Administration"/>
    <x v="4"/>
    <s v="Non-Recordable"/>
    <s v="Nil (No Injury)"/>
    <x v="7"/>
    <s v="Night"/>
    <n v="0"/>
    <s v="Overcast"/>
    <x v="0"/>
    <s v="Jo Smith"/>
    <s v="Closed"/>
    <s v="Complete"/>
    <n v="12"/>
    <n v="74688"/>
    <n v="0"/>
    <n v="0"/>
    <n v="0"/>
    <n v="0"/>
    <d v="2022-06-01T00:00:00"/>
    <s v="Broome Logistics Hub|2022-06"/>
  </r>
  <r>
    <s v="INC-0156"/>
    <d v="2023-10-29T00:00:00"/>
    <x v="0"/>
    <n v="10"/>
    <s v="October"/>
    <s v="Q4"/>
    <x v="3"/>
    <s v="Processing"/>
    <x v="1"/>
    <s v="Non-Recordable"/>
    <s v="Nil (No Injury)"/>
    <x v="1"/>
    <s v="Night"/>
    <n v="0"/>
    <s v="Wind"/>
    <x v="2"/>
    <s v="Sarah Chen"/>
    <s v="Open"/>
    <s v="Complete"/>
    <n v="11"/>
    <n v="78985"/>
    <n v="0"/>
    <n v="0"/>
    <n v="0"/>
    <n v="0"/>
    <d v="2023-10-01T00:00:00"/>
    <s v="Broome Logistics Hub|2023-10"/>
  </r>
  <r>
    <s v="INC-0157"/>
    <d v="2023-04-10T00:00:00"/>
    <x v="0"/>
    <n v="4"/>
    <s v="April"/>
    <s v="Q2"/>
    <x v="0"/>
    <s v="Maintenance"/>
    <x v="0"/>
    <s v="Non-Recordable"/>
    <s v="Nil (No Injury)"/>
    <x v="5"/>
    <s v="Night"/>
    <n v="0"/>
    <s v="Rain"/>
    <x v="1"/>
    <s v="Mark Daniels"/>
    <s v="Closed"/>
    <s v="Pending"/>
    <n v="9"/>
    <n v="80970"/>
    <n v="0"/>
    <n v="0"/>
    <n v="1"/>
    <n v="0"/>
    <d v="2023-04-01T00:00:00"/>
    <s v="Thunderbird Mine|2023-04"/>
  </r>
  <r>
    <s v="INC-0158"/>
    <d v="2022-11-23T00:00:00"/>
    <x v="1"/>
    <n v="11"/>
    <s v="November"/>
    <s v="Q4"/>
    <x v="2"/>
    <s v="Processing"/>
    <x v="4"/>
    <s v="Non-Recordable"/>
    <s v="Nil (No Injury)"/>
    <x v="6"/>
    <s v="Night"/>
    <n v="0"/>
    <s v="Extreme Heat"/>
    <x v="0"/>
    <s v="Sarah Chen"/>
    <s v="Closed"/>
    <s v="Overdue"/>
    <n v="8"/>
    <n v="75058"/>
    <n v="0"/>
    <n v="0"/>
    <n v="0"/>
    <n v="0"/>
    <d v="2022-11-01T00:00:00"/>
    <s v="Pilbara Crusher Plant|2022-11"/>
  </r>
  <r>
    <s v="INC-0159"/>
    <d v="2023-04-06T00:00:00"/>
    <x v="0"/>
    <n v="4"/>
    <s v="April"/>
    <s v="Q2"/>
    <x v="1"/>
    <s v="Mining Operations"/>
    <x v="1"/>
    <s v="Non-Recordable"/>
    <s v="Hand/Fingers"/>
    <x v="0"/>
    <s v="Night"/>
    <n v="0"/>
    <s v="Overcast"/>
    <x v="1"/>
    <s v="Mark Daniels"/>
    <s v="Closed"/>
    <s v="Complete"/>
    <n v="12"/>
    <n v="80988"/>
    <n v="0"/>
    <n v="0"/>
    <n v="0"/>
    <n v="0"/>
    <d v="2023-04-01T00:00:00"/>
    <s v="Darwin Port Facility|2023-04"/>
  </r>
  <r>
    <s v="INC-0160"/>
    <d v="2022-07-14T00:00:00"/>
    <x v="1"/>
    <n v="7"/>
    <s v="July"/>
    <s v="Q3"/>
    <x v="1"/>
    <s v="Processing"/>
    <x v="2"/>
    <s v="Non-Recordable"/>
    <s v="Nil (No Injury)"/>
    <x v="9"/>
    <s v="Night"/>
    <n v="0"/>
    <s v="Rain"/>
    <x v="2"/>
    <s v="David Torres"/>
    <s v="Closed"/>
    <s v="Complete"/>
    <n v="11"/>
    <n v="106249"/>
    <n v="0"/>
    <n v="0"/>
    <n v="0"/>
    <n v="0"/>
    <d v="2022-07-01T00:00:00"/>
    <s v="Darwin Port Facility|2022-07"/>
  </r>
  <r>
    <s v="INC-0161"/>
    <d v="2023-04-14T00:00:00"/>
    <x v="0"/>
    <n v="4"/>
    <s v="April"/>
    <s v="Q2"/>
    <x v="1"/>
    <s v="Construction"/>
    <x v="1"/>
    <s v="Non-Recordable"/>
    <s v="Shoulder"/>
    <x v="1"/>
    <s v="Day"/>
    <n v="0"/>
    <s v="Clear"/>
    <x v="1"/>
    <s v="Priya Nair"/>
    <s v="Open"/>
    <s v="Complete"/>
    <n v="12"/>
    <n v="41071"/>
    <n v="0"/>
    <n v="0"/>
    <n v="0"/>
    <n v="0"/>
    <d v="2023-04-01T00:00:00"/>
    <s v="Darwin Port Facility|2023-04"/>
  </r>
  <r>
    <s v="INC-0162"/>
    <d v="2024-05-17T00:00:00"/>
    <x v="2"/>
    <n v="5"/>
    <s v="May"/>
    <s v="Q2"/>
    <x v="4"/>
    <s v="Maintenance"/>
    <x v="0"/>
    <s v="Non-Recordable"/>
    <s v="Nil (No Injury)"/>
    <x v="0"/>
    <s v="Afternoon"/>
    <n v="0"/>
    <s v="Clear"/>
    <x v="1"/>
    <s v="Sarah Chen"/>
    <s v="Closed"/>
    <s v="Overdue"/>
    <n v="8"/>
    <n v="114747"/>
    <n v="0"/>
    <n v="0"/>
    <n v="0"/>
    <n v="0"/>
    <d v="2024-05-01T00:00:00"/>
    <s v="Katherine Processing Site|2024-05"/>
  </r>
  <r>
    <s v="INC-0163"/>
    <d v="2023-01-07T00:00:00"/>
    <x v="0"/>
    <n v="1"/>
    <s v="January"/>
    <s v="Q1"/>
    <x v="2"/>
    <s v="Mining Operations"/>
    <x v="5"/>
    <s v="Non-Recordable"/>
    <s v="Nil (No Injury)"/>
    <x v="2"/>
    <s v="Afternoon"/>
    <n v="0"/>
    <s v="Rain"/>
    <x v="2"/>
    <s v="Priya Nair"/>
    <s v="In Progress"/>
    <s v="Complete"/>
    <n v="9"/>
    <n v="52672"/>
    <n v="0"/>
    <n v="0"/>
    <n v="0"/>
    <n v="0"/>
    <d v="2023-01-01T00:00:00"/>
    <s v="Pilbara Crusher Plant|2023-01"/>
  </r>
  <r>
    <s v="INC-0164"/>
    <d v="2023-02-08T00:00:00"/>
    <x v="0"/>
    <n v="2"/>
    <s v="February"/>
    <s v="Q1"/>
    <x v="2"/>
    <s v="Construction"/>
    <x v="3"/>
    <s v="Recordable"/>
    <s v="Shoulder"/>
    <x v="6"/>
    <s v="Day"/>
    <n v="0"/>
    <s v="Extreme Heat"/>
    <x v="1"/>
    <s v="Priya Nair"/>
    <s v="Closed"/>
    <s v="Complete"/>
    <n v="8"/>
    <n v="57961"/>
    <n v="1"/>
    <n v="0"/>
    <n v="0"/>
    <n v="0"/>
    <d v="2023-02-01T00:00:00"/>
    <s v="Pilbara Crusher Plant|2023-02"/>
  </r>
  <r>
    <s v="INC-0165"/>
    <d v="2024-01-01T00:00:00"/>
    <x v="2"/>
    <n v="1"/>
    <s v="January"/>
    <s v="Q1"/>
    <x v="4"/>
    <s v="Construction"/>
    <x v="3"/>
    <s v="Recordable"/>
    <s v="Nil (No Injury)"/>
    <x v="6"/>
    <s v="Afternoon"/>
    <n v="0"/>
    <s v="Extreme Heat"/>
    <x v="0"/>
    <s v="Sarah Chen"/>
    <s v="In Progress"/>
    <s v="Complete"/>
    <n v="9"/>
    <n v="91505"/>
    <n v="1"/>
    <n v="0"/>
    <n v="0"/>
    <n v="0"/>
    <d v="2024-01-01T00:00:00"/>
    <s v="Katherine Processing Site|2024-01"/>
  </r>
  <r>
    <s v="INC-0166"/>
    <d v="2023-09-24T00:00:00"/>
    <x v="0"/>
    <n v="9"/>
    <s v="September"/>
    <s v="Q3"/>
    <x v="2"/>
    <s v="Construction"/>
    <x v="4"/>
    <s v="Non-Recordable"/>
    <s v="Nil (No Injury)"/>
    <x v="4"/>
    <s v="Afternoon"/>
    <n v="0"/>
    <s v="Overcast"/>
    <x v="1"/>
    <s v="Priya Nair"/>
    <s v="Closed"/>
    <s v="Overdue"/>
    <n v="8"/>
    <n v="88281"/>
    <n v="0"/>
    <n v="0"/>
    <n v="0"/>
    <n v="0"/>
    <d v="2023-09-01T00:00:00"/>
    <s v="Pilbara Crusher Plant|2023-09"/>
  </r>
  <r>
    <s v="INC-0167"/>
    <d v="2022-12-06T00:00:00"/>
    <x v="1"/>
    <n v="12"/>
    <s v="December"/>
    <s v="Q4"/>
    <x v="0"/>
    <s v="Processing"/>
    <x v="4"/>
    <s v="Non-Recordable"/>
    <s v="Nil (No Injury)"/>
    <x v="7"/>
    <s v="Night"/>
    <n v="0"/>
    <s v="Overcast"/>
    <x v="0"/>
    <s v="Priya Nair"/>
    <s v="Open"/>
    <s v="Complete"/>
    <n v="12"/>
    <n v="115711"/>
    <n v="0"/>
    <n v="0"/>
    <n v="0"/>
    <n v="0"/>
    <d v="2022-12-01T00:00:00"/>
    <s v="Thunderbird Mine|2022-12"/>
  </r>
  <r>
    <s v="INC-0168"/>
    <d v="2022-08-22T00:00:00"/>
    <x v="1"/>
    <n v="8"/>
    <s v="August"/>
    <s v="Q3"/>
    <x v="0"/>
    <s v="Construction"/>
    <x v="4"/>
    <s v="Non-Recordable"/>
    <s v="Nil (No Injury)"/>
    <x v="5"/>
    <s v="Day"/>
    <n v="0"/>
    <s v="Extreme Heat"/>
    <x v="1"/>
    <s v="Mark Daniels"/>
    <s v="Closed"/>
    <s v="Complete"/>
    <n v="12"/>
    <n v="54404"/>
    <n v="0"/>
    <n v="0"/>
    <n v="0"/>
    <n v="0"/>
    <d v="2022-08-01T00:00:00"/>
    <s v="Thunderbird Mine|2022-08"/>
  </r>
  <r>
    <s v="INC-0169"/>
    <d v="2022-07-15T00:00:00"/>
    <x v="1"/>
    <n v="7"/>
    <s v="July"/>
    <s v="Q3"/>
    <x v="4"/>
    <s v="Logistics"/>
    <x v="0"/>
    <s v="Non-Recordable"/>
    <s v="Nil (No Injury)"/>
    <x v="2"/>
    <s v="Day"/>
    <n v="0"/>
    <s v="Rain"/>
    <x v="0"/>
    <s v="David Torres"/>
    <s v="In Progress"/>
    <s v="Pending"/>
    <n v="11"/>
    <n v="48163"/>
    <n v="0"/>
    <n v="0"/>
    <n v="1"/>
    <n v="0"/>
    <d v="2022-07-01T00:00:00"/>
    <s v="Katherine Processing Site|2022-07"/>
  </r>
  <r>
    <s v="INC-0170"/>
    <d v="2023-06-16T00:00:00"/>
    <x v="0"/>
    <n v="6"/>
    <s v="June"/>
    <s v="Q2"/>
    <x v="3"/>
    <s v="Logistics"/>
    <x v="1"/>
    <s v="Non-Recordable"/>
    <s v="Nil (No Injury)"/>
    <x v="9"/>
    <s v="Night"/>
    <n v="0"/>
    <s v="Clear"/>
    <x v="0"/>
    <s v="David Torres"/>
    <s v="In Progress"/>
    <s v="Complete"/>
    <n v="12"/>
    <n v="86437"/>
    <n v="0"/>
    <n v="0"/>
    <n v="0"/>
    <n v="0"/>
    <d v="2023-06-01T00:00:00"/>
    <s v="Broome Logistics Hub|2023-06"/>
  </r>
  <r>
    <s v="INC-0171"/>
    <d v="2023-11-24T00:00:00"/>
    <x v="0"/>
    <n v="11"/>
    <s v="November"/>
    <s v="Q4"/>
    <x v="2"/>
    <s v="Construction"/>
    <x v="2"/>
    <s v="Non-Recordable"/>
    <s v="Nil (No Injury)"/>
    <x v="5"/>
    <s v="Day"/>
    <n v="0"/>
    <s v="Clear"/>
    <x v="2"/>
    <s v="Priya Nair"/>
    <s v="Closed"/>
    <s v="Complete"/>
    <n v="10"/>
    <n v="77880"/>
    <n v="0"/>
    <n v="0"/>
    <n v="0"/>
    <n v="0"/>
    <d v="2023-11-01T00:00:00"/>
    <s v="Pilbara Crusher Plant|2023-11"/>
  </r>
  <r>
    <s v="INC-0172"/>
    <d v="2023-12-23T00:00:00"/>
    <x v="0"/>
    <n v="12"/>
    <s v="December"/>
    <s v="Q4"/>
    <x v="4"/>
    <s v="Logistics"/>
    <x v="1"/>
    <s v="Non-Recordable"/>
    <s v="Nil (No Injury)"/>
    <x v="4"/>
    <s v="Afternoon"/>
    <n v="0"/>
    <s v="Overcast"/>
    <x v="2"/>
    <s v="Sarah Chen"/>
    <s v="Closed"/>
    <s v="Pending"/>
    <n v="12"/>
    <n v="89767"/>
    <n v="0"/>
    <n v="0"/>
    <n v="0"/>
    <n v="0"/>
    <d v="2023-12-01T00:00:00"/>
    <s v="Katherine Processing Site|2023-12"/>
  </r>
  <r>
    <s v="INC-0173"/>
    <d v="2023-02-09T00:00:00"/>
    <x v="0"/>
    <n v="2"/>
    <s v="February"/>
    <s v="Q1"/>
    <x v="2"/>
    <s v="Maintenance"/>
    <x v="2"/>
    <s v="Non-Recordable"/>
    <s v="Nil (No Injury)"/>
    <x v="0"/>
    <s v="Day"/>
    <n v="0"/>
    <s v="Clear"/>
    <x v="0"/>
    <s v="Sarah Chen"/>
    <s v="Open"/>
    <s v="Complete"/>
    <n v="11"/>
    <n v="68047"/>
    <n v="0"/>
    <n v="0"/>
    <n v="0"/>
    <n v="0"/>
    <d v="2023-02-01T00:00:00"/>
    <s v="Pilbara Crusher Plant|2023-02"/>
  </r>
  <r>
    <s v="INC-0174"/>
    <d v="2022-07-26T00:00:00"/>
    <x v="1"/>
    <n v="7"/>
    <s v="July"/>
    <s v="Q3"/>
    <x v="3"/>
    <s v="Logistics"/>
    <x v="2"/>
    <s v="Non-Recordable"/>
    <s v="Nil (No Injury)"/>
    <x v="9"/>
    <s v="Afternoon"/>
    <n v="0"/>
    <s v="Clear"/>
    <x v="0"/>
    <s v="Jo Smith"/>
    <s v="In Progress"/>
    <s v="Pending"/>
    <n v="9"/>
    <n v="71779"/>
    <n v="0"/>
    <n v="0"/>
    <n v="0"/>
    <n v="0"/>
    <d v="2022-07-01T00:00:00"/>
    <s v="Broome Logistics Hub|2022-07"/>
  </r>
  <r>
    <s v="INC-0175"/>
    <d v="2022-02-21T00:00:00"/>
    <x v="1"/>
    <n v="2"/>
    <s v="February"/>
    <s v="Q1"/>
    <x v="3"/>
    <s v="Maintenance"/>
    <x v="4"/>
    <s v="Non-Recordable"/>
    <s v="Nil (No Injury)"/>
    <x v="8"/>
    <s v="Day"/>
    <n v="0"/>
    <s v="Clear"/>
    <x v="1"/>
    <s v="Sarah Chen"/>
    <s v="Open"/>
    <s v="Complete"/>
    <n v="9"/>
    <n v="40679"/>
    <n v="0"/>
    <n v="0"/>
    <n v="0"/>
    <n v="0"/>
    <d v="2022-02-01T00:00:00"/>
    <s v="Broome Logistics Hub|2022-02"/>
  </r>
  <r>
    <s v="INC-0176"/>
    <d v="2023-07-18T00:00:00"/>
    <x v="0"/>
    <n v="7"/>
    <s v="July"/>
    <s v="Q3"/>
    <x v="4"/>
    <s v="Administration"/>
    <x v="1"/>
    <s v="Non-Recordable"/>
    <s v="Nil (No Injury)"/>
    <x v="5"/>
    <s v="Afternoon"/>
    <n v="0"/>
    <s v="Clear"/>
    <x v="2"/>
    <s v="Sarah Chen"/>
    <s v="Closed"/>
    <s v="Complete"/>
    <n v="8"/>
    <n v="115252"/>
    <n v="0"/>
    <n v="0"/>
    <n v="0"/>
    <n v="0"/>
    <d v="2023-07-01T00:00:00"/>
    <s v="Katherine Processing Site|2023-07"/>
  </r>
  <r>
    <s v="INC-0177"/>
    <d v="2022-08-26T00:00:00"/>
    <x v="1"/>
    <n v="8"/>
    <s v="August"/>
    <s v="Q3"/>
    <x v="0"/>
    <s v="Maintenance"/>
    <x v="5"/>
    <s v="Non-Recordable"/>
    <s v="Nil (No Injury)"/>
    <x v="2"/>
    <s v="Day"/>
    <n v="0"/>
    <s v="Clear"/>
    <x v="1"/>
    <s v="David Torres"/>
    <s v="Closed"/>
    <s v="Complete"/>
    <n v="8"/>
    <n v="41214"/>
    <n v="0"/>
    <n v="0"/>
    <n v="0"/>
    <n v="0"/>
    <d v="2022-08-01T00:00:00"/>
    <s v="Thunderbird Mine|2022-08"/>
  </r>
  <r>
    <s v="INC-0178"/>
    <d v="2022-11-02T00:00:00"/>
    <x v="1"/>
    <n v="11"/>
    <s v="November"/>
    <s v="Q4"/>
    <x v="3"/>
    <s v="Mining Operations"/>
    <x v="5"/>
    <s v="Non-Recordable"/>
    <s v="Nil (No Injury)"/>
    <x v="4"/>
    <s v="Night"/>
    <n v="0"/>
    <s v="Rain"/>
    <x v="1"/>
    <s v="Mark Daniels"/>
    <s v="In Progress"/>
    <s v="Overdue"/>
    <n v="10"/>
    <n v="65272"/>
    <n v="0"/>
    <n v="0"/>
    <n v="0"/>
    <n v="0"/>
    <d v="2022-11-01T00:00:00"/>
    <s v="Broome Logistics Hub|2022-11"/>
  </r>
  <r>
    <s v="INC-0179"/>
    <d v="2024-04-08T00:00:00"/>
    <x v="2"/>
    <n v="4"/>
    <s v="April"/>
    <s v="Q2"/>
    <x v="2"/>
    <s v="Maintenance"/>
    <x v="0"/>
    <s v="Non-Recordable"/>
    <s v="Nil (No Injury)"/>
    <x v="5"/>
    <s v="Afternoon"/>
    <n v="0"/>
    <s v="Clear"/>
    <x v="0"/>
    <s v="Jo Smith"/>
    <s v="Closed"/>
    <s v="Complete"/>
    <n v="12"/>
    <n v="65318"/>
    <n v="0"/>
    <n v="0"/>
    <n v="0"/>
    <n v="0"/>
    <d v="2024-04-01T00:00:00"/>
    <s v="Pilbara Crusher Plant|2024-04"/>
  </r>
  <r>
    <s v="INC-0180"/>
    <d v="2024-05-26T00:00:00"/>
    <x v="2"/>
    <n v="5"/>
    <s v="May"/>
    <s v="Q2"/>
    <x v="4"/>
    <s v="Processing"/>
    <x v="4"/>
    <s v="Non-Recordable"/>
    <s v="Nil (No Injury)"/>
    <x v="9"/>
    <s v="Night"/>
    <n v="0"/>
    <s v="Clear"/>
    <x v="1"/>
    <s v="Jo Smith"/>
    <s v="Closed"/>
    <s v="Complete"/>
    <n v="11"/>
    <n v="82415"/>
    <n v="0"/>
    <n v="0"/>
    <n v="0"/>
    <n v="0"/>
    <d v="2024-05-01T00:00:00"/>
    <s v="Katherine Processing Site|2024-05"/>
  </r>
  <r>
    <s v="INC-0181"/>
    <d v="2022-09-12T00:00:00"/>
    <x v="1"/>
    <n v="9"/>
    <s v="September"/>
    <s v="Q3"/>
    <x v="2"/>
    <s v="Processing"/>
    <x v="0"/>
    <s v="Non-Recordable"/>
    <s v="Nil (No Injury)"/>
    <x v="8"/>
    <s v="Night"/>
    <n v="0"/>
    <s v="Overcast"/>
    <x v="2"/>
    <s v="Sarah Chen"/>
    <s v="Closed"/>
    <s v="Pending"/>
    <n v="12"/>
    <n v="41498"/>
    <n v="0"/>
    <n v="0"/>
    <n v="0"/>
    <n v="0"/>
    <d v="2022-09-01T00:00:00"/>
    <s v="Pilbara Crusher Plant|2022-09"/>
  </r>
  <r>
    <s v="INC-0182"/>
    <d v="2023-01-04T00:00:00"/>
    <x v="0"/>
    <n v="1"/>
    <s v="January"/>
    <s v="Q1"/>
    <x v="1"/>
    <s v="Mining Operations"/>
    <x v="4"/>
    <s v="Non-Recordable"/>
    <s v="Nil (No Injury)"/>
    <x v="3"/>
    <s v="Night"/>
    <n v="0"/>
    <s v="Clear"/>
    <x v="0"/>
    <s v="David Torres"/>
    <s v="In Progress"/>
    <s v="Complete"/>
    <n v="8"/>
    <n v="78671"/>
    <n v="0"/>
    <n v="0"/>
    <n v="0"/>
    <n v="0"/>
    <d v="2023-01-01T00:00:00"/>
    <s v="Darwin Port Facility|2023-01"/>
  </r>
  <r>
    <s v="INC-0183"/>
    <d v="2023-01-12T00:00:00"/>
    <x v="0"/>
    <n v="1"/>
    <s v="January"/>
    <s v="Q1"/>
    <x v="1"/>
    <s v="Maintenance"/>
    <x v="5"/>
    <s v="Non-Recordable"/>
    <s v="Nil (No Injury)"/>
    <x v="6"/>
    <s v="Night"/>
    <n v="0"/>
    <s v="Clear"/>
    <x v="1"/>
    <s v="Priya Nair"/>
    <s v="Closed"/>
    <s v="Overdue"/>
    <n v="12"/>
    <n v="101712"/>
    <n v="0"/>
    <n v="0"/>
    <n v="0"/>
    <n v="0"/>
    <d v="2023-01-01T00:00:00"/>
    <s v="Darwin Port Facility|2023-01"/>
  </r>
  <r>
    <s v="INC-0184"/>
    <d v="2024-02-15T00:00:00"/>
    <x v="2"/>
    <n v="2"/>
    <s v="February"/>
    <s v="Q1"/>
    <x v="1"/>
    <s v="Maintenance"/>
    <x v="5"/>
    <s v="Non-Recordable"/>
    <s v="Nil (No Injury)"/>
    <x v="7"/>
    <s v="Day"/>
    <n v="0"/>
    <s v="Extreme Heat"/>
    <x v="1"/>
    <s v="Priya Nair"/>
    <s v="Closed"/>
    <s v="Complete"/>
    <n v="12"/>
    <n v="54707"/>
    <n v="0"/>
    <n v="0"/>
    <n v="0"/>
    <n v="0"/>
    <d v="2024-02-01T00:00:00"/>
    <s v="Darwin Port Facility|2024-02"/>
  </r>
  <r>
    <s v="INC-0185"/>
    <d v="2022-03-05T00:00:00"/>
    <x v="1"/>
    <n v="3"/>
    <s v="March"/>
    <s v="Q1"/>
    <x v="3"/>
    <s v="Construction"/>
    <x v="2"/>
    <s v="Non-Recordable"/>
    <s v="Nil (No Injury)"/>
    <x v="8"/>
    <s v="Afternoon"/>
    <n v="0"/>
    <s v="Extreme Heat"/>
    <x v="0"/>
    <s v="Mark Daniels"/>
    <s v="Closed"/>
    <s v="Pending"/>
    <n v="11"/>
    <n v="55235"/>
    <n v="0"/>
    <n v="0"/>
    <n v="0"/>
    <n v="0"/>
    <d v="2022-03-01T00:00:00"/>
    <s v="Broome Logistics Hub|2022-03"/>
  </r>
  <r>
    <s v="INC-0186"/>
    <d v="2023-11-28T00:00:00"/>
    <x v="0"/>
    <n v="11"/>
    <s v="November"/>
    <s v="Q4"/>
    <x v="3"/>
    <s v="Processing"/>
    <x v="1"/>
    <s v="Non-Recordable"/>
    <s v="Back/Spine"/>
    <x v="9"/>
    <s v="Night"/>
    <n v="0"/>
    <s v="Overcast"/>
    <x v="0"/>
    <s v="David Torres"/>
    <s v="Closed"/>
    <s v="Pending"/>
    <n v="11"/>
    <n v="99873"/>
    <n v="0"/>
    <n v="0"/>
    <n v="0"/>
    <n v="0"/>
    <d v="2023-11-01T00:00:00"/>
    <s v="Broome Logistics Hub|2023-11"/>
  </r>
  <r>
    <s v="INC-0187"/>
    <d v="2023-08-01T00:00:00"/>
    <x v="0"/>
    <n v="8"/>
    <s v="August"/>
    <s v="Q3"/>
    <x v="3"/>
    <s v="Processing"/>
    <x v="0"/>
    <s v="Non-Recordable"/>
    <s v="Nil (No Injury)"/>
    <x v="0"/>
    <s v="Afternoon"/>
    <n v="0"/>
    <s v="Clear"/>
    <x v="1"/>
    <s v="Sarah Chen"/>
    <s v="Closed"/>
    <s v="Complete"/>
    <n v="12"/>
    <n v="49572"/>
    <n v="0"/>
    <n v="0"/>
    <n v="0"/>
    <n v="0"/>
    <d v="2023-08-01T00:00:00"/>
    <s v="Broome Logistics Hub|2023-08"/>
  </r>
  <r>
    <s v="INC-0188"/>
    <d v="2022-12-19T00:00:00"/>
    <x v="1"/>
    <n v="12"/>
    <s v="December"/>
    <s v="Q4"/>
    <x v="0"/>
    <s v="Construction"/>
    <x v="4"/>
    <s v="Non-Recordable"/>
    <s v="Nil (No Injury)"/>
    <x v="1"/>
    <s v="Day"/>
    <n v="0"/>
    <s v="Rain"/>
    <x v="0"/>
    <s v="Sarah Chen"/>
    <s v="Open"/>
    <s v="Complete"/>
    <n v="9"/>
    <n v="95097"/>
    <n v="0"/>
    <n v="0"/>
    <n v="0"/>
    <n v="0"/>
    <d v="2022-12-01T00:00:00"/>
    <s v="Thunderbird Mine|2022-12"/>
  </r>
  <r>
    <s v="INC-0189"/>
    <d v="2023-01-19T00:00:00"/>
    <x v="0"/>
    <n v="1"/>
    <s v="January"/>
    <s v="Q1"/>
    <x v="4"/>
    <s v="Processing"/>
    <x v="6"/>
    <s v="Recordable"/>
    <s v="Back/Spine"/>
    <x v="9"/>
    <s v="Day"/>
    <n v="15"/>
    <s v="Wind"/>
    <x v="2"/>
    <s v="Jo Smith"/>
    <s v="Closed"/>
    <s v="Pending"/>
    <n v="11"/>
    <n v="109316"/>
    <n v="1"/>
    <n v="0"/>
    <n v="0"/>
    <n v="1"/>
    <d v="2023-01-01T00:00:00"/>
    <s v="Katherine Processing Site|2023-01"/>
  </r>
  <r>
    <s v="INC-0190"/>
    <d v="2022-08-17T00:00:00"/>
    <x v="1"/>
    <n v="8"/>
    <s v="August"/>
    <s v="Q3"/>
    <x v="0"/>
    <s v="Mining Operations"/>
    <x v="2"/>
    <s v="Non-Recordable"/>
    <s v="Nil (No Injury)"/>
    <x v="0"/>
    <s v="Night"/>
    <n v="0"/>
    <s v="Wind"/>
    <x v="1"/>
    <s v="Priya Nair"/>
    <s v="Open"/>
    <s v="Complete"/>
    <n v="9"/>
    <n v="100375"/>
    <n v="0"/>
    <n v="0"/>
    <n v="0"/>
    <n v="0"/>
    <d v="2022-08-01T00:00:00"/>
    <s v="Thunderbird Mine|2022-08"/>
  </r>
  <r>
    <s v="INC-0191"/>
    <d v="2022-12-21T00:00:00"/>
    <x v="1"/>
    <n v="12"/>
    <s v="December"/>
    <s v="Q4"/>
    <x v="2"/>
    <s v="Maintenance"/>
    <x v="1"/>
    <s v="Non-Recordable"/>
    <s v="Back/Spine"/>
    <x v="1"/>
    <s v="Afternoon"/>
    <n v="0"/>
    <s v="Rain"/>
    <x v="0"/>
    <s v="Mark Daniels"/>
    <s v="Closed"/>
    <s v="Complete"/>
    <n v="8"/>
    <n v="117849"/>
    <n v="0"/>
    <n v="0"/>
    <n v="0"/>
    <n v="0"/>
    <d v="2022-12-01T00:00:00"/>
    <s v="Pilbara Crusher Plant|2022-12"/>
  </r>
  <r>
    <s v="INC-0192"/>
    <d v="2022-02-04T00:00:00"/>
    <x v="1"/>
    <n v="2"/>
    <s v="February"/>
    <s v="Q1"/>
    <x v="0"/>
    <s v="Maintenance"/>
    <x v="6"/>
    <s v="Recordable"/>
    <s v="Hand/Fingers"/>
    <x v="2"/>
    <s v="Night"/>
    <n v="20"/>
    <s v="Clear"/>
    <x v="0"/>
    <s v="Jo Smith"/>
    <s v="Closed"/>
    <s v="Pending"/>
    <n v="10"/>
    <n v="70692"/>
    <n v="1"/>
    <n v="0"/>
    <n v="1"/>
    <n v="1"/>
    <d v="2022-02-01T00:00:00"/>
    <s v="Thunderbird Mine|2022-02"/>
  </r>
  <r>
    <s v="INC-0193"/>
    <d v="2024-01-20T00:00:00"/>
    <x v="2"/>
    <n v="1"/>
    <s v="January"/>
    <s v="Q1"/>
    <x v="2"/>
    <s v="Construction"/>
    <x v="5"/>
    <s v="Non-Recordable"/>
    <s v="Nil (No Injury)"/>
    <x v="7"/>
    <s v="Afternoon"/>
    <n v="0"/>
    <s v="Overcast"/>
    <x v="2"/>
    <s v="Mark Daniels"/>
    <s v="Closed"/>
    <s v="Complete"/>
    <n v="12"/>
    <n v="68972"/>
    <n v="0"/>
    <n v="0"/>
    <n v="0"/>
    <n v="0"/>
    <d v="2024-01-01T00:00:00"/>
    <s v="Pilbara Crusher Plant|2024-01"/>
  </r>
  <r>
    <s v="INC-0194"/>
    <d v="2023-02-28T00:00:00"/>
    <x v="0"/>
    <n v="2"/>
    <s v="February"/>
    <s v="Q1"/>
    <x v="2"/>
    <s v="Mining Operations"/>
    <x v="3"/>
    <s v="Recordable"/>
    <s v="Nil (No Injury)"/>
    <x v="7"/>
    <s v="Afternoon"/>
    <n v="0"/>
    <s v="Clear"/>
    <x v="1"/>
    <s v="Priya Nair"/>
    <s v="Open"/>
    <s v="Complete"/>
    <n v="10"/>
    <n v="89958"/>
    <n v="1"/>
    <n v="0"/>
    <n v="0"/>
    <n v="0"/>
    <d v="2023-02-01T00:00:00"/>
    <s v="Pilbara Crusher Plant|2023-02"/>
  </r>
  <r>
    <s v="INC-0195"/>
    <d v="2024-03-15T00:00:00"/>
    <x v="2"/>
    <n v="3"/>
    <s v="March"/>
    <s v="Q1"/>
    <x v="2"/>
    <s v="Administration"/>
    <x v="5"/>
    <s v="Non-Recordable"/>
    <s v="Nil (No Injury)"/>
    <x v="2"/>
    <s v="Night"/>
    <n v="0"/>
    <s v="Clear"/>
    <x v="2"/>
    <s v="David Torres"/>
    <s v="Closed"/>
    <s v="Pending"/>
    <n v="11"/>
    <n v="71584"/>
    <n v="0"/>
    <n v="0"/>
    <n v="0"/>
    <n v="0"/>
    <d v="2024-03-01T00:00:00"/>
    <s v="Pilbara Crusher Plant|2024-03"/>
  </r>
  <r>
    <s v="INC-0196"/>
    <d v="2024-05-19T00:00:00"/>
    <x v="2"/>
    <n v="5"/>
    <s v="May"/>
    <s v="Q2"/>
    <x v="2"/>
    <s v="Administration"/>
    <x v="1"/>
    <s v="Non-Recordable"/>
    <s v="Foot/Ankle"/>
    <x v="5"/>
    <s v="Day"/>
    <n v="0"/>
    <s v="Extreme Heat"/>
    <x v="1"/>
    <s v="David Torres"/>
    <s v="In Progress"/>
    <s v="Pending"/>
    <n v="9"/>
    <n v="90910"/>
    <n v="0"/>
    <n v="0"/>
    <n v="0"/>
    <n v="0"/>
    <d v="2024-05-01T00:00:00"/>
    <s v="Pilbara Crusher Plant|2024-05"/>
  </r>
  <r>
    <s v="INC-0197"/>
    <d v="2022-09-06T00:00:00"/>
    <x v="1"/>
    <n v="9"/>
    <s v="September"/>
    <s v="Q3"/>
    <x v="1"/>
    <s v="Logistics"/>
    <x v="3"/>
    <s v="Recordable"/>
    <s v="Back/Spine"/>
    <x v="5"/>
    <s v="Night"/>
    <n v="0"/>
    <s v="Clear"/>
    <x v="0"/>
    <s v="Jo Smith"/>
    <s v="Closed"/>
    <s v="Overdue"/>
    <n v="12"/>
    <n v="119026"/>
    <n v="1"/>
    <n v="0"/>
    <n v="0"/>
    <n v="0"/>
    <d v="2022-09-01T00:00:00"/>
    <s v="Darwin Port Facility|2022-09"/>
  </r>
  <r>
    <s v="INC-0198"/>
    <d v="2022-02-10T00:00:00"/>
    <x v="1"/>
    <n v="2"/>
    <s v="February"/>
    <s v="Q1"/>
    <x v="0"/>
    <s v="Maintenance"/>
    <x v="2"/>
    <s v="Non-Recordable"/>
    <s v="Nil (No Injury)"/>
    <x v="7"/>
    <s v="Afternoon"/>
    <n v="0"/>
    <s v="Wind"/>
    <x v="0"/>
    <s v="David Torres"/>
    <s v="Closed"/>
    <s v="Complete"/>
    <n v="10"/>
    <n v="42009"/>
    <n v="0"/>
    <n v="0"/>
    <n v="0"/>
    <n v="0"/>
    <d v="2022-02-01T00:00:00"/>
    <s v="Thunderbird Mine|2022-02"/>
  </r>
  <r>
    <s v="INC-0199"/>
    <d v="2022-08-05T00:00:00"/>
    <x v="1"/>
    <n v="8"/>
    <s v="August"/>
    <s v="Q3"/>
    <x v="0"/>
    <s v="Administration"/>
    <x v="1"/>
    <s v="Non-Recordable"/>
    <s v="Nil (No Injury)"/>
    <x v="8"/>
    <s v="Afternoon"/>
    <n v="0"/>
    <s v="Extreme Heat"/>
    <x v="0"/>
    <s v="David Torres"/>
    <s v="Closed"/>
    <s v="Pending"/>
    <n v="10"/>
    <n v="77101"/>
    <n v="0"/>
    <n v="0"/>
    <n v="0"/>
    <n v="0"/>
    <d v="2022-08-01T00:00:00"/>
    <s v="Thunderbird Mine|2022-08"/>
  </r>
  <r>
    <s v="INC-0200"/>
    <d v="2023-01-25T00:00:00"/>
    <x v="0"/>
    <n v="1"/>
    <s v="January"/>
    <s v="Q1"/>
    <x v="2"/>
    <s v="Logistics"/>
    <x v="6"/>
    <s v="Recordable"/>
    <s v="Head"/>
    <x v="4"/>
    <s v="Afternoon"/>
    <n v="18"/>
    <s v="Rain"/>
    <x v="1"/>
    <s v="Jo Smith"/>
    <s v="Open"/>
    <s v="Complete"/>
    <n v="9"/>
    <n v="88589"/>
    <n v="1"/>
    <n v="0"/>
    <n v="0"/>
    <n v="1"/>
    <d v="2023-01-01T00:00:00"/>
    <s v="Pilbara Crusher Plant|2023-01"/>
  </r>
  <r>
    <s v="INC-0201"/>
    <d v="2022-02-16T00:00:00"/>
    <x v="1"/>
    <n v="2"/>
    <s v="February"/>
    <s v="Q1"/>
    <x v="1"/>
    <s v="Administration"/>
    <x v="5"/>
    <s v="Non-Recordable"/>
    <s v="Nil (No Injury)"/>
    <x v="6"/>
    <s v="Day"/>
    <n v="0"/>
    <s v="Clear"/>
    <x v="1"/>
    <s v="Sarah Chen"/>
    <s v="Closed"/>
    <s v="Complete"/>
    <n v="10"/>
    <n v="70149"/>
    <n v="0"/>
    <n v="0"/>
    <n v="0"/>
    <n v="0"/>
    <d v="2022-02-01T00:00:00"/>
    <s v="Darwin Port Facility|2022-02"/>
  </r>
  <r>
    <s v="INC-0202"/>
    <d v="2023-01-24T00:00:00"/>
    <x v="0"/>
    <n v="1"/>
    <s v="January"/>
    <s v="Q1"/>
    <x v="1"/>
    <s v="Processing"/>
    <x v="5"/>
    <s v="Non-Recordable"/>
    <s v="Nil (No Injury)"/>
    <x v="9"/>
    <s v="Afternoon"/>
    <n v="0"/>
    <s v="Wind"/>
    <x v="2"/>
    <s v="Sarah Chen"/>
    <s v="Open"/>
    <s v="Overdue"/>
    <n v="11"/>
    <n v="62050"/>
    <n v="0"/>
    <n v="0"/>
    <n v="0"/>
    <n v="0"/>
    <d v="2023-01-01T00:00:00"/>
    <s v="Darwin Port Facility|2023-01"/>
  </r>
  <r>
    <s v="INC-0203"/>
    <d v="2024-01-21T00:00:00"/>
    <x v="2"/>
    <n v="1"/>
    <s v="January"/>
    <s v="Q1"/>
    <x v="2"/>
    <s v="Maintenance"/>
    <x v="2"/>
    <s v="Non-Recordable"/>
    <s v="Nil (No Injury)"/>
    <x v="6"/>
    <s v="Afternoon"/>
    <n v="0"/>
    <s v="Extreme Heat"/>
    <x v="1"/>
    <s v="Mark Daniels"/>
    <s v="In Progress"/>
    <s v="Complete"/>
    <n v="12"/>
    <n v="44433"/>
    <n v="0"/>
    <n v="0"/>
    <n v="0"/>
    <n v="0"/>
    <d v="2024-01-01T00:00:00"/>
    <s v="Pilbara Crusher Plant|2024-01"/>
  </r>
  <r>
    <s v="INC-0204"/>
    <d v="2024-05-09T00:00:00"/>
    <x v="2"/>
    <n v="5"/>
    <s v="May"/>
    <s v="Q2"/>
    <x v="0"/>
    <s v="Administration"/>
    <x v="2"/>
    <s v="Non-Recordable"/>
    <s v="Nil (No Injury)"/>
    <x v="1"/>
    <s v="Day"/>
    <n v="0"/>
    <s v="Rain"/>
    <x v="0"/>
    <s v="Mark Daniels"/>
    <s v="Closed"/>
    <s v="Complete"/>
    <n v="8"/>
    <n v="68668"/>
    <n v="0"/>
    <n v="0"/>
    <n v="0"/>
    <n v="0"/>
    <d v="2024-05-01T00:00:00"/>
    <s v="Thunderbird Mine|2024-05"/>
  </r>
  <r>
    <s v="INC-0205"/>
    <d v="2023-06-02T00:00:00"/>
    <x v="0"/>
    <n v="6"/>
    <s v="June"/>
    <s v="Q2"/>
    <x v="0"/>
    <s v="Construction"/>
    <x v="6"/>
    <s v="Recordable"/>
    <s v="Nil (No Injury)"/>
    <x v="5"/>
    <s v="Afternoon"/>
    <n v="12"/>
    <s v="Rain"/>
    <x v="0"/>
    <s v="Jo Smith"/>
    <s v="In Progress"/>
    <s v="Pending"/>
    <n v="11"/>
    <n v="41553"/>
    <n v="1"/>
    <n v="0"/>
    <n v="0"/>
    <n v="1"/>
    <d v="2023-06-01T00:00:00"/>
    <s v="Thunderbird Mine|2023-06"/>
  </r>
  <r>
    <s v="INC-0206"/>
    <d v="2024-01-10T00:00:00"/>
    <x v="2"/>
    <n v="1"/>
    <s v="January"/>
    <s v="Q1"/>
    <x v="3"/>
    <s v="Logistics"/>
    <x v="3"/>
    <s v="Recordable"/>
    <s v="Hand/Fingers"/>
    <x v="9"/>
    <s v="Afternoon"/>
    <n v="0"/>
    <s v="Wind"/>
    <x v="1"/>
    <s v="Mark Daniels"/>
    <s v="Closed"/>
    <s v="Complete"/>
    <n v="12"/>
    <n v="59516"/>
    <n v="1"/>
    <n v="0"/>
    <n v="0"/>
    <n v="0"/>
    <d v="2024-01-01T00:00:00"/>
    <s v="Broome Logistics Hub|2024-01"/>
  </r>
  <r>
    <s v="INC-0207"/>
    <d v="2022-09-04T00:00:00"/>
    <x v="1"/>
    <n v="9"/>
    <s v="September"/>
    <s v="Q3"/>
    <x v="3"/>
    <s v="Construction"/>
    <x v="1"/>
    <s v="Non-Recordable"/>
    <s v="Head"/>
    <x v="4"/>
    <s v="Night"/>
    <n v="0"/>
    <s v="Overcast"/>
    <x v="1"/>
    <s v="Jo Smith"/>
    <s v="Closed"/>
    <s v="Overdue"/>
    <n v="11"/>
    <n v="114055"/>
    <n v="0"/>
    <n v="0"/>
    <n v="0"/>
    <n v="0"/>
    <d v="2022-09-01T00:00:00"/>
    <s v="Broome Logistics Hub|2022-09"/>
  </r>
  <r>
    <s v="INC-0208"/>
    <d v="2022-09-07T00:00:00"/>
    <x v="1"/>
    <n v="9"/>
    <s v="September"/>
    <s v="Q3"/>
    <x v="1"/>
    <s v="Logistics"/>
    <x v="4"/>
    <s v="Non-Recordable"/>
    <s v="Nil (No Injury)"/>
    <x v="3"/>
    <s v="Afternoon"/>
    <n v="0"/>
    <s v="Overcast"/>
    <x v="0"/>
    <s v="Jo Smith"/>
    <s v="Open"/>
    <s v="Overdue"/>
    <n v="11"/>
    <n v="112443"/>
    <n v="0"/>
    <n v="0"/>
    <n v="0"/>
    <n v="0"/>
    <d v="2022-09-01T00:00:00"/>
    <s v="Darwin Port Facility|2022-09"/>
  </r>
  <r>
    <s v="INC-0209"/>
    <d v="2023-05-03T00:00:00"/>
    <x v="0"/>
    <n v="5"/>
    <s v="May"/>
    <s v="Q2"/>
    <x v="0"/>
    <s v="Administration"/>
    <x v="0"/>
    <s v="Non-Recordable"/>
    <s v="Nil (No Injury)"/>
    <x v="6"/>
    <s v="Day"/>
    <n v="0"/>
    <s v="Rain"/>
    <x v="1"/>
    <s v="Sarah Chen"/>
    <s v="In Progress"/>
    <s v="Complete"/>
    <n v="12"/>
    <n v="45577"/>
    <n v="0"/>
    <n v="0"/>
    <n v="0"/>
    <n v="0"/>
    <d v="2023-05-01T00:00:00"/>
    <s v="Thunderbird Mine|2023-05"/>
  </r>
  <r>
    <s v="INC-0210"/>
    <d v="2024-06-07T00:00:00"/>
    <x v="2"/>
    <n v="6"/>
    <s v="June"/>
    <s v="Q2"/>
    <x v="3"/>
    <s v="Processing"/>
    <x v="4"/>
    <s v="Non-Recordable"/>
    <s v="Nil (No Injury)"/>
    <x v="0"/>
    <s v="Day"/>
    <n v="0"/>
    <s v="Clear"/>
    <x v="2"/>
    <s v="Priya Nair"/>
    <s v="In Progress"/>
    <s v="Complete"/>
    <n v="9"/>
    <n v="81220"/>
    <n v="0"/>
    <n v="0"/>
    <n v="0"/>
    <n v="0"/>
    <d v="2024-06-01T00:00:00"/>
    <s v="Broome Logistics Hub|2024-06"/>
  </r>
  <r>
    <s v="INC-0211"/>
    <d v="2022-01-17T00:00:00"/>
    <x v="1"/>
    <n v="1"/>
    <s v="January"/>
    <s v="Q1"/>
    <x v="3"/>
    <s v="Maintenance"/>
    <x v="1"/>
    <s v="Non-Recordable"/>
    <s v="Knee"/>
    <x v="3"/>
    <s v="Night"/>
    <n v="0"/>
    <s v="Clear"/>
    <x v="0"/>
    <s v="Priya Nair"/>
    <s v="Open"/>
    <s v="Pending"/>
    <n v="10"/>
    <n v="90311"/>
    <n v="0"/>
    <n v="0"/>
    <n v="0"/>
    <n v="0"/>
    <d v="2022-01-01T00:00:00"/>
    <s v="Broome Logistics Hub|2022-01"/>
  </r>
  <r>
    <s v="INC-0212"/>
    <d v="2024-02-13T00:00:00"/>
    <x v="2"/>
    <n v="2"/>
    <s v="February"/>
    <s v="Q1"/>
    <x v="1"/>
    <s v="Administration"/>
    <x v="4"/>
    <s v="Non-Recordable"/>
    <s v="Nil (No Injury)"/>
    <x v="3"/>
    <s v="Afternoon"/>
    <n v="0"/>
    <s v="Wind"/>
    <x v="2"/>
    <s v="Jo Smith"/>
    <s v="Closed"/>
    <s v="Overdue"/>
    <n v="9"/>
    <n v="49963"/>
    <n v="0"/>
    <n v="0"/>
    <n v="0"/>
    <n v="0"/>
    <d v="2024-02-01T00:00:00"/>
    <s v="Darwin Port Facility|2024-02"/>
  </r>
  <r>
    <s v="INC-0213"/>
    <d v="2022-12-15T00:00:00"/>
    <x v="1"/>
    <n v="12"/>
    <s v="December"/>
    <s v="Q4"/>
    <x v="3"/>
    <s v="Construction"/>
    <x v="5"/>
    <s v="Non-Recordable"/>
    <s v="Nil (No Injury)"/>
    <x v="2"/>
    <s v="Night"/>
    <n v="0"/>
    <s v="Clear"/>
    <x v="2"/>
    <s v="David Torres"/>
    <s v="Open"/>
    <s v="Complete"/>
    <n v="10"/>
    <n v="112487"/>
    <n v="0"/>
    <n v="0"/>
    <n v="0"/>
    <n v="0"/>
    <d v="2022-12-01T00:00:00"/>
    <s v="Broome Logistics Hub|2022-12"/>
  </r>
  <r>
    <s v="INC-0214"/>
    <d v="2023-01-20T00:00:00"/>
    <x v="0"/>
    <n v="1"/>
    <s v="January"/>
    <s v="Q1"/>
    <x v="3"/>
    <s v="Administration"/>
    <x v="6"/>
    <s v="Recordable"/>
    <s v="Knee"/>
    <x v="3"/>
    <s v="Afternoon"/>
    <n v="6"/>
    <s v="Clear"/>
    <x v="0"/>
    <s v="Jo Smith"/>
    <s v="Closed"/>
    <s v="Complete"/>
    <n v="9"/>
    <n v="89807"/>
    <n v="1"/>
    <n v="0"/>
    <n v="1"/>
    <n v="1"/>
    <d v="2023-01-01T00:00:00"/>
    <s v="Broome Logistics Hub|2023-01"/>
  </r>
  <r>
    <s v="INC-0215"/>
    <d v="2023-10-12T00:00:00"/>
    <x v="0"/>
    <n v="10"/>
    <s v="October"/>
    <s v="Q4"/>
    <x v="4"/>
    <s v="Logistics"/>
    <x v="1"/>
    <s v="Non-Recordable"/>
    <s v="Shoulder"/>
    <x v="3"/>
    <s v="Day"/>
    <n v="0"/>
    <s v="Clear"/>
    <x v="2"/>
    <s v="David Torres"/>
    <s v="Closed"/>
    <s v="Complete"/>
    <n v="8"/>
    <n v="57367"/>
    <n v="0"/>
    <n v="0"/>
    <n v="0"/>
    <n v="0"/>
    <d v="2023-10-01T00:00:00"/>
    <s v="Katherine Processing Site|2023-10"/>
  </r>
  <r>
    <s v="INC-0216"/>
    <d v="2022-03-31T00:00:00"/>
    <x v="1"/>
    <n v="3"/>
    <s v="March"/>
    <s v="Q1"/>
    <x v="4"/>
    <s v="Processing"/>
    <x v="1"/>
    <s v="Non-Recordable"/>
    <s v="Nil (No Injury)"/>
    <x v="9"/>
    <s v="Afternoon"/>
    <n v="0"/>
    <s v="Rain"/>
    <x v="0"/>
    <s v="Jo Smith"/>
    <s v="Closed"/>
    <s v="Complete"/>
    <n v="12"/>
    <n v="52198"/>
    <n v="0"/>
    <n v="0"/>
    <n v="0"/>
    <n v="0"/>
    <d v="2022-03-01T00:00:00"/>
    <s v="Katherine Processing Site|2022-03"/>
  </r>
  <r>
    <s v="INC-0217"/>
    <d v="2023-09-04T00:00:00"/>
    <x v="0"/>
    <n v="9"/>
    <s v="September"/>
    <s v="Q3"/>
    <x v="2"/>
    <s v="Processing"/>
    <x v="5"/>
    <s v="Non-Recordable"/>
    <s v="Nil (No Injury)"/>
    <x v="1"/>
    <s v="Night"/>
    <n v="0"/>
    <s v="Rain"/>
    <x v="1"/>
    <s v="Jo Smith"/>
    <s v="In Progress"/>
    <s v="Complete"/>
    <n v="12"/>
    <n v="108302"/>
    <n v="0"/>
    <n v="0"/>
    <n v="0"/>
    <n v="0"/>
    <d v="2023-09-01T00:00:00"/>
    <s v="Pilbara Crusher Plant|2023-09"/>
  </r>
  <r>
    <s v="INC-0218"/>
    <d v="2022-06-23T00:00:00"/>
    <x v="1"/>
    <n v="6"/>
    <s v="June"/>
    <s v="Q2"/>
    <x v="4"/>
    <s v="Maintenance"/>
    <x v="4"/>
    <s v="Non-Recordable"/>
    <s v="Nil (No Injury)"/>
    <x v="6"/>
    <s v="Night"/>
    <n v="0"/>
    <s v="Clear"/>
    <x v="2"/>
    <s v="David Torres"/>
    <s v="Closed"/>
    <s v="Complete"/>
    <n v="9"/>
    <n v="96973"/>
    <n v="0"/>
    <n v="0"/>
    <n v="0"/>
    <n v="0"/>
    <d v="2022-06-01T00:00:00"/>
    <s v="Katherine Processing Site|2022-06"/>
  </r>
  <r>
    <s v="INC-0219"/>
    <d v="2022-10-10T00:00:00"/>
    <x v="1"/>
    <n v="10"/>
    <s v="October"/>
    <s v="Q4"/>
    <x v="4"/>
    <s v="Mining Operations"/>
    <x v="6"/>
    <s v="Recordable"/>
    <s v="Shoulder"/>
    <x v="0"/>
    <s v="Day"/>
    <n v="10"/>
    <s v="Wind"/>
    <x v="1"/>
    <s v="Priya Nair"/>
    <s v="In Progress"/>
    <s v="Complete"/>
    <n v="11"/>
    <n v="54021"/>
    <n v="1"/>
    <n v="0"/>
    <n v="0"/>
    <n v="1"/>
    <d v="2022-10-01T00:00:00"/>
    <s v="Katherine Processing Site|2022-10"/>
  </r>
  <r>
    <s v="INC-0220"/>
    <d v="2022-01-07T00:00:00"/>
    <x v="1"/>
    <n v="1"/>
    <s v="January"/>
    <s v="Q1"/>
    <x v="3"/>
    <s v="Processing"/>
    <x v="6"/>
    <s v="Recordable"/>
    <s v="Shoulder"/>
    <x v="5"/>
    <s v="Night"/>
    <n v="11"/>
    <s v="Rain"/>
    <x v="0"/>
    <s v="Sarah Chen"/>
    <s v="Closed"/>
    <s v="Pending"/>
    <n v="9"/>
    <n v="102784"/>
    <n v="1"/>
    <n v="0"/>
    <n v="0"/>
    <n v="1"/>
    <d v="2022-01-01T00:00:00"/>
    <s v="Broome Logistics Hub|2022-01"/>
  </r>
  <r>
    <s v="INC-0221"/>
    <d v="2023-02-12T00:00:00"/>
    <x v="0"/>
    <n v="2"/>
    <s v="February"/>
    <s v="Q1"/>
    <x v="2"/>
    <s v="Administration"/>
    <x v="3"/>
    <s v="Recordable"/>
    <s v="Nil (No Injury)"/>
    <x v="7"/>
    <s v="Day"/>
    <n v="0"/>
    <s v="Clear"/>
    <x v="1"/>
    <s v="Sarah Chen"/>
    <s v="Open"/>
    <s v="Complete"/>
    <n v="8"/>
    <n v="113905"/>
    <n v="1"/>
    <n v="0"/>
    <n v="0"/>
    <n v="0"/>
    <d v="2023-02-01T00:00:00"/>
    <s v="Pilbara Crusher Plant|2023-02"/>
  </r>
  <r>
    <s v="INC-0222"/>
    <d v="2022-07-24T00:00:00"/>
    <x v="1"/>
    <n v="7"/>
    <s v="July"/>
    <s v="Q3"/>
    <x v="3"/>
    <s v="Maintenance"/>
    <x v="5"/>
    <s v="Non-Recordable"/>
    <s v="Nil (No Injury)"/>
    <x v="9"/>
    <s v="Day"/>
    <n v="0"/>
    <s v="Wind"/>
    <x v="1"/>
    <s v="Mark Daniels"/>
    <s v="Open"/>
    <s v="Complete"/>
    <n v="8"/>
    <n v="93627"/>
    <n v="0"/>
    <n v="0"/>
    <n v="0"/>
    <n v="0"/>
    <d v="2022-07-01T00:00:00"/>
    <s v="Broome Logistics Hub|2022-07"/>
  </r>
  <r>
    <s v="INC-0223"/>
    <d v="2023-11-21T00:00:00"/>
    <x v="0"/>
    <n v="11"/>
    <s v="November"/>
    <s v="Q4"/>
    <x v="2"/>
    <s v="Maintenance"/>
    <x v="6"/>
    <s v="Recordable"/>
    <s v="Head"/>
    <x v="6"/>
    <s v="Afternoon"/>
    <n v="5"/>
    <s v="Rain"/>
    <x v="1"/>
    <s v="Jo Smith"/>
    <s v="Open"/>
    <s v="Pending"/>
    <n v="11"/>
    <n v="116315"/>
    <n v="1"/>
    <n v="0"/>
    <n v="0"/>
    <n v="1"/>
    <d v="2023-11-01T00:00:00"/>
    <s v="Pilbara Crusher Plant|2023-11"/>
  </r>
  <r>
    <s v="INC-0224"/>
    <d v="2023-06-03T00:00:00"/>
    <x v="0"/>
    <n v="6"/>
    <s v="June"/>
    <s v="Q2"/>
    <x v="4"/>
    <s v="Construction"/>
    <x v="2"/>
    <s v="Non-Recordable"/>
    <s v="Nil (No Injury)"/>
    <x v="1"/>
    <s v="Night"/>
    <n v="0"/>
    <s v="Wind"/>
    <x v="0"/>
    <s v="Jo Smith"/>
    <s v="Closed"/>
    <s v="Complete"/>
    <n v="9"/>
    <n v="45806"/>
    <n v="0"/>
    <n v="0"/>
    <n v="0"/>
    <n v="0"/>
    <d v="2023-06-01T00:00:00"/>
    <s v="Katherine Processing Site|2023-06"/>
  </r>
  <r>
    <s v="INC-0225"/>
    <d v="2023-07-31T00:00:00"/>
    <x v="0"/>
    <n v="7"/>
    <s v="July"/>
    <s v="Q3"/>
    <x v="4"/>
    <s v="Logistics"/>
    <x v="4"/>
    <s v="Non-Recordable"/>
    <s v="Nil (No Injury)"/>
    <x v="2"/>
    <s v="Day"/>
    <n v="0"/>
    <s v="Clear"/>
    <x v="0"/>
    <s v="Sarah Chen"/>
    <s v="Closed"/>
    <s v="Pending"/>
    <n v="12"/>
    <n v="113137"/>
    <n v="0"/>
    <n v="0"/>
    <n v="0"/>
    <n v="0"/>
    <d v="2023-07-01T00:00:00"/>
    <s v="Katherine Processing Site|2023-07"/>
  </r>
  <r>
    <s v="INC-0226"/>
    <d v="2023-08-18T00:00:00"/>
    <x v="0"/>
    <n v="8"/>
    <s v="August"/>
    <s v="Q3"/>
    <x v="3"/>
    <s v="Maintenance"/>
    <x v="4"/>
    <s v="Non-Recordable"/>
    <s v="Nil (No Injury)"/>
    <x v="5"/>
    <s v="Night"/>
    <n v="0"/>
    <s v="Rain"/>
    <x v="1"/>
    <s v="Priya Nair"/>
    <s v="In Progress"/>
    <s v="Complete"/>
    <n v="10"/>
    <n v="43219"/>
    <n v="0"/>
    <n v="0"/>
    <n v="0"/>
    <n v="0"/>
    <d v="2023-08-01T00:00:00"/>
    <s v="Broome Logistics Hub|2023-08"/>
  </r>
  <r>
    <s v="INC-0227"/>
    <d v="2023-05-10T00:00:00"/>
    <x v="0"/>
    <n v="5"/>
    <s v="May"/>
    <s v="Q2"/>
    <x v="2"/>
    <s v="Processing"/>
    <x v="0"/>
    <s v="Non-Recordable"/>
    <s v="Nil (No Injury)"/>
    <x v="3"/>
    <s v="Day"/>
    <n v="0"/>
    <s v="Overcast"/>
    <x v="0"/>
    <s v="Sarah Chen"/>
    <s v="Closed"/>
    <s v="Complete"/>
    <n v="11"/>
    <n v="67114"/>
    <n v="0"/>
    <n v="0"/>
    <n v="0"/>
    <n v="0"/>
    <d v="2023-05-01T00:00:00"/>
    <s v="Pilbara Crusher Plant|2023-05"/>
  </r>
  <r>
    <s v="INC-0228"/>
    <d v="2022-12-23T00:00:00"/>
    <x v="1"/>
    <n v="12"/>
    <s v="December"/>
    <s v="Q4"/>
    <x v="4"/>
    <s v="Administration"/>
    <x v="6"/>
    <s v="Recordable"/>
    <s v="Nil (No Injury)"/>
    <x v="4"/>
    <s v="Day"/>
    <n v="4"/>
    <s v="Clear"/>
    <x v="0"/>
    <s v="Jo Smith"/>
    <s v="Closed"/>
    <s v="Complete"/>
    <n v="8"/>
    <n v="61542"/>
    <n v="1"/>
    <n v="0"/>
    <n v="1"/>
    <n v="1"/>
    <d v="2022-12-01T00:00:00"/>
    <s v="Katherine Processing Site|2022-12"/>
  </r>
  <r>
    <s v="INC-0229"/>
    <d v="2024-01-29T00:00:00"/>
    <x v="2"/>
    <n v="1"/>
    <s v="January"/>
    <s v="Q1"/>
    <x v="3"/>
    <s v="Maintenance"/>
    <x v="1"/>
    <s v="Non-Recordable"/>
    <s v="Nil (No Injury)"/>
    <x v="6"/>
    <s v="Night"/>
    <n v="0"/>
    <s v="Extreme Heat"/>
    <x v="1"/>
    <s v="David Torres"/>
    <s v="Closed"/>
    <s v="Overdue"/>
    <n v="9"/>
    <n v="64430"/>
    <n v="0"/>
    <n v="0"/>
    <n v="0"/>
    <n v="0"/>
    <d v="2024-01-01T00:00:00"/>
    <s v="Broome Logistics Hub|2024-01"/>
  </r>
  <r>
    <s v="INC-0230"/>
    <d v="2023-10-18T00:00:00"/>
    <x v="0"/>
    <n v="10"/>
    <s v="October"/>
    <s v="Q4"/>
    <x v="4"/>
    <s v="Processing"/>
    <x v="4"/>
    <s v="Non-Recordable"/>
    <s v="Nil (No Injury)"/>
    <x v="1"/>
    <s v="Afternoon"/>
    <n v="0"/>
    <s v="Extreme Heat"/>
    <x v="0"/>
    <s v="David Torres"/>
    <s v="In Progress"/>
    <s v="Overdue"/>
    <n v="11"/>
    <n v="40583"/>
    <n v="0"/>
    <n v="0"/>
    <n v="0"/>
    <n v="0"/>
    <d v="2023-10-01T00:00:00"/>
    <s v="Katherine Processing Site|2023-10"/>
  </r>
  <r>
    <s v="INC-0231"/>
    <d v="2023-12-23T00:00:00"/>
    <x v="0"/>
    <n v="12"/>
    <s v="December"/>
    <s v="Q4"/>
    <x v="1"/>
    <s v="Logistics"/>
    <x v="1"/>
    <s v="Non-Recordable"/>
    <s v="Back/Spine"/>
    <x v="7"/>
    <s v="Day"/>
    <n v="0"/>
    <s v="Overcast"/>
    <x v="0"/>
    <s v="Sarah Chen"/>
    <s v="Closed"/>
    <s v="Complete"/>
    <n v="11"/>
    <n v="54936"/>
    <n v="0"/>
    <n v="0"/>
    <n v="0"/>
    <n v="0"/>
    <d v="2023-12-01T00:00:00"/>
    <s v="Darwin Port Facility|2023-12"/>
  </r>
  <r>
    <s v="INC-0232"/>
    <d v="2022-09-26T00:00:00"/>
    <x v="1"/>
    <n v="9"/>
    <s v="September"/>
    <s v="Q3"/>
    <x v="4"/>
    <s v="Construction"/>
    <x v="4"/>
    <s v="Non-Recordable"/>
    <s v="Nil (No Injury)"/>
    <x v="4"/>
    <s v="Afternoon"/>
    <n v="0"/>
    <s v="Rain"/>
    <x v="1"/>
    <s v="Priya Nair"/>
    <s v="Closed"/>
    <s v="Complete"/>
    <n v="10"/>
    <n v="100012"/>
    <n v="0"/>
    <n v="0"/>
    <n v="0"/>
    <n v="0"/>
    <d v="2022-09-01T00:00:00"/>
    <s v="Katherine Processing Site|2022-09"/>
  </r>
  <r>
    <s v="INC-0233"/>
    <d v="2023-09-25T00:00:00"/>
    <x v="0"/>
    <n v="9"/>
    <s v="September"/>
    <s v="Q3"/>
    <x v="2"/>
    <s v="Construction"/>
    <x v="1"/>
    <s v="Non-Recordable"/>
    <s v="Nil (No Injury)"/>
    <x v="3"/>
    <s v="Afternoon"/>
    <n v="0"/>
    <s v="Clear"/>
    <x v="2"/>
    <s v="Jo Smith"/>
    <s v="Closed"/>
    <s v="Complete"/>
    <n v="8"/>
    <n v="63992"/>
    <n v="0"/>
    <n v="0"/>
    <n v="0"/>
    <n v="0"/>
    <d v="2023-09-01T00:00:00"/>
    <s v="Pilbara Crusher Plant|2023-09"/>
  </r>
  <r>
    <s v="INC-0234"/>
    <d v="2023-01-18T00:00:00"/>
    <x v="0"/>
    <n v="1"/>
    <s v="January"/>
    <s v="Q1"/>
    <x v="1"/>
    <s v="Construction"/>
    <x v="4"/>
    <s v="Non-Recordable"/>
    <s v="Nil (No Injury)"/>
    <x v="2"/>
    <s v="Night"/>
    <n v="0"/>
    <s v="Extreme Heat"/>
    <x v="0"/>
    <s v="Priya Nair"/>
    <s v="Open"/>
    <s v="Overdue"/>
    <n v="9"/>
    <n v="103788"/>
    <n v="0"/>
    <n v="0"/>
    <n v="0"/>
    <n v="0"/>
    <d v="2023-01-01T00:00:00"/>
    <s v="Darwin Port Facility|2023-01"/>
  </r>
  <r>
    <s v="INC-0235"/>
    <d v="2023-10-13T00:00:00"/>
    <x v="0"/>
    <n v="10"/>
    <s v="October"/>
    <s v="Q4"/>
    <x v="1"/>
    <s v="Construction"/>
    <x v="5"/>
    <s v="Non-Recordable"/>
    <s v="Nil (No Injury)"/>
    <x v="6"/>
    <s v="Night"/>
    <n v="0"/>
    <s v="Clear"/>
    <x v="0"/>
    <s v="Mark Daniels"/>
    <s v="Closed"/>
    <s v="Overdue"/>
    <n v="12"/>
    <n v="47026"/>
    <n v="0"/>
    <n v="0"/>
    <n v="0"/>
    <n v="0"/>
    <d v="2023-10-01T00:00:00"/>
    <s v="Darwin Port Facility|2023-10"/>
  </r>
  <r>
    <s v="INC-0236"/>
    <d v="2024-06-05T00:00:00"/>
    <x v="2"/>
    <n v="6"/>
    <s v="June"/>
    <s v="Q2"/>
    <x v="0"/>
    <s v="Processing"/>
    <x v="3"/>
    <s v="Recordable"/>
    <s v="Foot/Ankle"/>
    <x v="8"/>
    <s v="Night"/>
    <n v="0"/>
    <s v="Extreme Heat"/>
    <x v="1"/>
    <s v="David Torres"/>
    <s v="Open"/>
    <s v="Overdue"/>
    <n v="11"/>
    <n v="104054"/>
    <n v="1"/>
    <n v="0"/>
    <n v="0"/>
    <n v="0"/>
    <d v="2024-06-01T00:00:00"/>
    <s v="Thunderbird Mine|2024-06"/>
  </r>
  <r>
    <s v="INC-0237"/>
    <d v="2022-06-21T00:00:00"/>
    <x v="1"/>
    <n v="6"/>
    <s v="June"/>
    <s v="Q2"/>
    <x v="3"/>
    <s v="Mining Operations"/>
    <x v="0"/>
    <s v="Non-Recordable"/>
    <s v="Nil (No Injury)"/>
    <x v="8"/>
    <s v="Night"/>
    <n v="0"/>
    <s v="Clear"/>
    <x v="2"/>
    <s v="Mark Daniels"/>
    <s v="In Progress"/>
    <s v="Complete"/>
    <n v="9"/>
    <n v="99942"/>
    <n v="0"/>
    <n v="0"/>
    <n v="0"/>
    <n v="0"/>
    <d v="2022-06-01T00:00:00"/>
    <s v="Broome Logistics Hub|2022-06"/>
  </r>
  <r>
    <s v="INC-0238"/>
    <d v="2024-03-02T00:00:00"/>
    <x v="2"/>
    <n v="3"/>
    <s v="March"/>
    <s v="Q1"/>
    <x v="4"/>
    <s v="Construction"/>
    <x v="2"/>
    <s v="Non-Recordable"/>
    <s v="Nil (No Injury)"/>
    <x v="9"/>
    <s v="Day"/>
    <n v="0"/>
    <s v="Extreme Heat"/>
    <x v="0"/>
    <s v="Sarah Chen"/>
    <s v="In Progress"/>
    <s v="Complete"/>
    <n v="12"/>
    <n v="45453"/>
    <n v="0"/>
    <n v="0"/>
    <n v="0"/>
    <n v="0"/>
    <d v="2024-03-01T00:00:00"/>
    <s v="Katherine Processing Site|2024-03"/>
  </r>
  <r>
    <s v="INC-0239"/>
    <d v="2024-02-18T00:00:00"/>
    <x v="2"/>
    <n v="2"/>
    <s v="February"/>
    <s v="Q1"/>
    <x v="4"/>
    <s v="Construction"/>
    <x v="4"/>
    <s v="Non-Recordable"/>
    <s v="Nil (No Injury)"/>
    <x v="8"/>
    <s v="Night"/>
    <n v="0"/>
    <s v="Clear"/>
    <x v="0"/>
    <s v="Sarah Chen"/>
    <s v="Closed"/>
    <s v="Overdue"/>
    <n v="10"/>
    <n v="85688"/>
    <n v="0"/>
    <n v="0"/>
    <n v="0"/>
    <n v="0"/>
    <d v="2024-02-01T00:00:00"/>
    <s v="Katherine Processing Site|2024-02"/>
  </r>
  <r>
    <s v="INC-0240"/>
    <d v="2024-06-01T00:00:00"/>
    <x v="2"/>
    <n v="6"/>
    <s v="June"/>
    <s v="Q2"/>
    <x v="0"/>
    <s v="Processing"/>
    <x v="2"/>
    <s v="Non-Recordable"/>
    <s v="Nil (No Injury)"/>
    <x v="3"/>
    <s v="Day"/>
    <n v="0"/>
    <s v="Clear"/>
    <x v="2"/>
    <s v="Priya Nair"/>
    <s v="Open"/>
    <s v="Complete"/>
    <n v="12"/>
    <n v="58249"/>
    <n v="0"/>
    <n v="0"/>
    <n v="0"/>
    <n v="0"/>
    <d v="2024-06-01T00:00:00"/>
    <s v="Thunderbird Mine|2024-06"/>
  </r>
  <r>
    <s v="INC-0241"/>
    <d v="2024-03-14T00:00:00"/>
    <x v="2"/>
    <n v="3"/>
    <s v="March"/>
    <s v="Q1"/>
    <x v="1"/>
    <s v="Mining Operations"/>
    <x v="1"/>
    <s v="Non-Recordable"/>
    <s v="Nil (No Injury)"/>
    <x v="4"/>
    <s v="Afternoon"/>
    <n v="0"/>
    <s v="Clear"/>
    <x v="0"/>
    <s v="Sarah Chen"/>
    <s v="Closed"/>
    <s v="Complete"/>
    <n v="12"/>
    <n v="75041"/>
    <n v="0"/>
    <n v="0"/>
    <n v="0"/>
    <n v="0"/>
    <d v="2024-03-01T00:00:00"/>
    <s v="Darwin Port Facility|2024-03"/>
  </r>
  <r>
    <s v="INC-0242"/>
    <d v="2024-05-28T00:00:00"/>
    <x v="2"/>
    <n v="5"/>
    <s v="May"/>
    <s v="Q2"/>
    <x v="0"/>
    <s v="Maintenance"/>
    <x v="5"/>
    <s v="Non-Recordable"/>
    <s v="Nil (No Injury)"/>
    <x v="2"/>
    <s v="Day"/>
    <n v="0"/>
    <s v="Clear"/>
    <x v="0"/>
    <s v="Mark Daniels"/>
    <s v="Closed"/>
    <s v="Complete"/>
    <n v="10"/>
    <n v="72447"/>
    <n v="0"/>
    <n v="0"/>
    <n v="0"/>
    <n v="0"/>
    <d v="2024-05-01T00:00:00"/>
    <s v="Thunderbird Mine|2024-05"/>
  </r>
  <r>
    <s v="INC-0243"/>
    <d v="2024-02-19T00:00:00"/>
    <x v="2"/>
    <n v="2"/>
    <s v="February"/>
    <s v="Q1"/>
    <x v="4"/>
    <s v="Processing"/>
    <x v="2"/>
    <s v="Non-Recordable"/>
    <s v="Nil (No Injury)"/>
    <x v="6"/>
    <s v="Afternoon"/>
    <n v="0"/>
    <s v="Wind"/>
    <x v="2"/>
    <s v="David Torres"/>
    <s v="Open"/>
    <s v="Overdue"/>
    <n v="8"/>
    <n v="52202"/>
    <n v="0"/>
    <n v="0"/>
    <n v="0"/>
    <n v="0"/>
    <d v="2024-02-01T00:00:00"/>
    <s v="Katherine Processing Site|2024-02"/>
  </r>
  <r>
    <s v="INC-0244"/>
    <d v="2023-02-17T00:00:00"/>
    <x v="0"/>
    <n v="2"/>
    <s v="February"/>
    <s v="Q1"/>
    <x v="2"/>
    <s v="Administration"/>
    <x v="5"/>
    <s v="Non-Recordable"/>
    <s v="Nil (No Injury)"/>
    <x v="4"/>
    <s v="Night"/>
    <n v="0"/>
    <s v="Rain"/>
    <x v="2"/>
    <s v="Priya Nair"/>
    <s v="Closed"/>
    <s v="Complete"/>
    <n v="11"/>
    <n v="86952"/>
    <n v="0"/>
    <n v="0"/>
    <n v="0"/>
    <n v="0"/>
    <d v="2023-02-01T00:00:00"/>
    <s v="Pilbara Crusher Plant|2023-02"/>
  </r>
  <r>
    <s v="INC-0245"/>
    <d v="2024-05-20T00:00:00"/>
    <x v="2"/>
    <n v="5"/>
    <s v="May"/>
    <s v="Q2"/>
    <x v="3"/>
    <s v="Processing"/>
    <x v="0"/>
    <s v="Non-Recordable"/>
    <s v="Nil (No Injury)"/>
    <x v="8"/>
    <s v="Night"/>
    <n v="0"/>
    <s v="Overcast"/>
    <x v="0"/>
    <s v="David Torres"/>
    <s v="Closed"/>
    <s v="Complete"/>
    <n v="10"/>
    <n v="84270"/>
    <n v="0"/>
    <n v="0"/>
    <n v="0"/>
    <n v="0"/>
    <d v="2024-05-01T00:00:00"/>
    <s v="Broome Logistics Hub|2024-05"/>
  </r>
  <r>
    <s v="INC-0246"/>
    <d v="2022-05-14T00:00:00"/>
    <x v="1"/>
    <n v="5"/>
    <s v="May"/>
    <s v="Q2"/>
    <x v="4"/>
    <s v="Logistics"/>
    <x v="5"/>
    <s v="Non-Recordable"/>
    <s v="Nil (No Injury)"/>
    <x v="1"/>
    <s v="Day"/>
    <n v="0"/>
    <s v="Clear"/>
    <x v="1"/>
    <s v="Jo Smith"/>
    <s v="Closed"/>
    <s v="Complete"/>
    <n v="11"/>
    <n v="99836"/>
    <n v="0"/>
    <n v="0"/>
    <n v="0"/>
    <n v="0"/>
    <d v="2022-05-01T00:00:00"/>
    <s v="Katherine Processing Site|2022-05"/>
  </r>
  <r>
    <s v="INC-0247"/>
    <d v="2022-01-01T00:00:00"/>
    <x v="1"/>
    <n v="1"/>
    <s v="January"/>
    <s v="Q1"/>
    <x v="1"/>
    <s v="Administration"/>
    <x v="6"/>
    <s v="Recordable"/>
    <s v="Head"/>
    <x v="6"/>
    <s v="Night"/>
    <n v="7"/>
    <s v="Clear"/>
    <x v="2"/>
    <s v="Sarah Chen"/>
    <s v="Closed"/>
    <s v="Complete"/>
    <n v="9"/>
    <n v="46787"/>
    <n v="1"/>
    <n v="0"/>
    <n v="0"/>
    <n v="1"/>
    <d v="2022-01-01T00:00:00"/>
    <s v="Darwin Port Facility|2022-01"/>
  </r>
  <r>
    <s v="INC-0248"/>
    <d v="2022-11-09T00:00:00"/>
    <x v="1"/>
    <n v="11"/>
    <s v="November"/>
    <s v="Q4"/>
    <x v="1"/>
    <s v="Processing"/>
    <x v="4"/>
    <s v="Non-Recordable"/>
    <s v="Nil (No Injury)"/>
    <x v="3"/>
    <s v="Afternoon"/>
    <n v="0"/>
    <s v="Clear"/>
    <x v="0"/>
    <s v="Mark Daniels"/>
    <s v="Open"/>
    <s v="Complete"/>
    <n v="9"/>
    <n v="117814"/>
    <n v="0"/>
    <n v="0"/>
    <n v="0"/>
    <n v="0"/>
    <d v="2022-11-01T00:00:00"/>
    <s v="Darwin Port Facility|2022-11"/>
  </r>
  <r>
    <s v="INC-0249"/>
    <d v="2022-08-20T00:00:00"/>
    <x v="1"/>
    <n v="8"/>
    <s v="August"/>
    <s v="Q3"/>
    <x v="4"/>
    <s v="Mining Operations"/>
    <x v="5"/>
    <s v="Non-Recordable"/>
    <s v="Nil (No Injury)"/>
    <x v="1"/>
    <s v="Afternoon"/>
    <n v="0"/>
    <s v="Clear"/>
    <x v="0"/>
    <s v="David Torres"/>
    <s v="Closed"/>
    <s v="Overdue"/>
    <n v="8"/>
    <n v="70008"/>
    <n v="0"/>
    <n v="0"/>
    <n v="0"/>
    <n v="0"/>
    <d v="2022-08-01T00:00:00"/>
    <s v="Katherine Processing Site|2022-08"/>
  </r>
  <r>
    <s v="INC-0250"/>
    <d v="2023-01-28T00:00:00"/>
    <x v="0"/>
    <n v="1"/>
    <s v="January"/>
    <s v="Q1"/>
    <x v="0"/>
    <s v="Mining Operations"/>
    <x v="0"/>
    <s v="Non-Recordable"/>
    <s v="Nil (No Injury)"/>
    <x v="4"/>
    <s v="Night"/>
    <n v="0"/>
    <s v="Clear"/>
    <x v="0"/>
    <s v="David Torres"/>
    <s v="Closed"/>
    <s v="Complete"/>
    <n v="8"/>
    <n v="109534"/>
    <n v="0"/>
    <n v="0"/>
    <n v="0"/>
    <n v="0"/>
    <d v="2023-01-01T00:00:00"/>
    <s v="Thunderbird Mine|2023-01"/>
  </r>
  <r>
    <s v="INC-0251"/>
    <d v="2023-09-17T00:00:00"/>
    <x v="0"/>
    <n v="9"/>
    <s v="September"/>
    <s v="Q3"/>
    <x v="1"/>
    <s v="Processing"/>
    <x v="4"/>
    <s v="Non-Recordable"/>
    <s v="Nil (No Injury)"/>
    <x v="4"/>
    <s v="Afternoon"/>
    <n v="0"/>
    <s v="Clear"/>
    <x v="0"/>
    <s v="David Torres"/>
    <s v="In Progress"/>
    <s v="Overdue"/>
    <n v="9"/>
    <n v="51362"/>
    <n v="0"/>
    <n v="0"/>
    <n v="0"/>
    <n v="0"/>
    <d v="2023-09-01T00:00:00"/>
    <s v="Darwin Port Facility|2023-09"/>
  </r>
  <r>
    <s v="INC-0252"/>
    <d v="2022-04-13T00:00:00"/>
    <x v="1"/>
    <n v="4"/>
    <s v="April"/>
    <s v="Q2"/>
    <x v="0"/>
    <s v="Construction"/>
    <x v="1"/>
    <s v="Non-Recordable"/>
    <s v="Knee"/>
    <x v="4"/>
    <s v="Night"/>
    <n v="0"/>
    <s v="Clear"/>
    <x v="0"/>
    <s v="Mark Daniels"/>
    <s v="Closed"/>
    <s v="Complete"/>
    <n v="9"/>
    <n v="112534"/>
    <n v="0"/>
    <n v="0"/>
    <n v="0"/>
    <n v="0"/>
    <d v="2022-04-01T00:00:00"/>
    <s v="Thunderbird Mine|2022-04"/>
  </r>
  <r>
    <s v="INC-0253"/>
    <d v="2023-09-08T00:00:00"/>
    <x v="0"/>
    <n v="9"/>
    <s v="September"/>
    <s v="Q3"/>
    <x v="3"/>
    <s v="Logistics"/>
    <x v="5"/>
    <s v="Non-Recordable"/>
    <s v="Nil (No Injury)"/>
    <x v="1"/>
    <s v="Afternoon"/>
    <n v="0"/>
    <s v="Clear"/>
    <x v="0"/>
    <s v="Priya Nair"/>
    <s v="In Progress"/>
    <s v="Pending"/>
    <n v="9"/>
    <n v="91347"/>
    <n v="0"/>
    <n v="0"/>
    <n v="0"/>
    <n v="0"/>
    <d v="2023-09-01T00:00:00"/>
    <s v="Broome Logistics Hub|2023-09"/>
  </r>
  <r>
    <s v="INC-0254"/>
    <d v="2022-10-30T00:00:00"/>
    <x v="1"/>
    <n v="10"/>
    <s v="October"/>
    <s v="Q4"/>
    <x v="0"/>
    <s v="Maintenance"/>
    <x v="4"/>
    <s v="Non-Recordable"/>
    <s v="Nil (No Injury)"/>
    <x v="5"/>
    <s v="Night"/>
    <n v="0"/>
    <s v="Clear"/>
    <x v="0"/>
    <s v="David Torres"/>
    <s v="In Progress"/>
    <s v="Complete"/>
    <n v="12"/>
    <n v="41581"/>
    <n v="0"/>
    <n v="0"/>
    <n v="0"/>
    <n v="0"/>
    <d v="2022-10-01T00:00:00"/>
    <s v="Thunderbird Mine|2022-10"/>
  </r>
  <r>
    <s v="INC-0255"/>
    <d v="2023-01-05T00:00:00"/>
    <x v="0"/>
    <n v="1"/>
    <s v="January"/>
    <s v="Q1"/>
    <x v="1"/>
    <s v="Processing"/>
    <x v="3"/>
    <s v="Recordable"/>
    <s v="Nil (No Injury)"/>
    <x v="2"/>
    <s v="Night"/>
    <n v="0"/>
    <s v="Extreme Heat"/>
    <x v="0"/>
    <s v="David Torres"/>
    <s v="Closed"/>
    <s v="Complete"/>
    <n v="12"/>
    <n v="48851"/>
    <n v="1"/>
    <n v="0"/>
    <n v="0"/>
    <n v="0"/>
    <d v="2023-01-01T00:00:00"/>
    <s v="Darwin Port Facility|2023-01"/>
  </r>
  <r>
    <s v="INC-0256"/>
    <d v="2022-01-15T00:00:00"/>
    <x v="1"/>
    <n v="1"/>
    <s v="January"/>
    <s v="Q1"/>
    <x v="1"/>
    <s v="Mining Operations"/>
    <x v="3"/>
    <s v="Recordable"/>
    <s v="Hand/Fingers"/>
    <x v="2"/>
    <s v="Afternoon"/>
    <n v="0"/>
    <s v="Clear"/>
    <x v="1"/>
    <s v="David Torres"/>
    <s v="Open"/>
    <s v="Complete"/>
    <n v="12"/>
    <n v="110471"/>
    <n v="1"/>
    <n v="0"/>
    <n v="0"/>
    <n v="0"/>
    <d v="2022-01-01T00:00:00"/>
    <s v="Darwin Port Facility|2022-01"/>
  </r>
  <r>
    <s v="INC-0257"/>
    <d v="2023-09-23T00:00:00"/>
    <x v="0"/>
    <n v="9"/>
    <s v="September"/>
    <s v="Q3"/>
    <x v="2"/>
    <s v="Mining Operations"/>
    <x v="1"/>
    <s v="Non-Recordable"/>
    <s v="Head"/>
    <x v="3"/>
    <s v="Afternoon"/>
    <n v="0"/>
    <s v="Clear"/>
    <x v="0"/>
    <s v="Priya Nair"/>
    <s v="Closed"/>
    <s v="Overdue"/>
    <n v="12"/>
    <n v="48665"/>
    <n v="0"/>
    <n v="0"/>
    <n v="0"/>
    <n v="0"/>
    <d v="2023-09-01T00:00:00"/>
    <s v="Pilbara Crusher Plant|2023-09"/>
  </r>
  <r>
    <s v="INC-0258"/>
    <d v="2022-11-14T00:00:00"/>
    <x v="1"/>
    <n v="11"/>
    <s v="November"/>
    <s v="Q4"/>
    <x v="4"/>
    <s v="Administration"/>
    <x v="4"/>
    <s v="Non-Recordable"/>
    <s v="Nil (No Injury)"/>
    <x v="8"/>
    <s v="Day"/>
    <n v="0"/>
    <s v="Clear"/>
    <x v="0"/>
    <s v="David Torres"/>
    <s v="Closed"/>
    <s v="Overdue"/>
    <n v="12"/>
    <n v="119800"/>
    <n v="0"/>
    <n v="0"/>
    <n v="0"/>
    <n v="0"/>
    <d v="2022-11-01T00:00:00"/>
    <s v="Katherine Processing Site|2022-11"/>
  </r>
  <r>
    <s v="INC-0259"/>
    <d v="2022-02-26T00:00:00"/>
    <x v="1"/>
    <n v="2"/>
    <s v="February"/>
    <s v="Q1"/>
    <x v="1"/>
    <s v="Mining Operations"/>
    <x v="3"/>
    <s v="Recordable"/>
    <s v="Hand/Fingers"/>
    <x v="6"/>
    <s v="Afternoon"/>
    <n v="0"/>
    <s v="Clear"/>
    <x v="0"/>
    <s v="David Torres"/>
    <s v="Closed"/>
    <s v="Pending"/>
    <n v="12"/>
    <n v="73980"/>
    <n v="1"/>
    <n v="0"/>
    <n v="0"/>
    <n v="0"/>
    <d v="2022-02-01T00:00:00"/>
    <s v="Darwin Port Facility|2022-02"/>
  </r>
  <r>
    <s v="INC-0260"/>
    <d v="2022-06-20T00:00:00"/>
    <x v="1"/>
    <n v="6"/>
    <s v="June"/>
    <s v="Q2"/>
    <x v="1"/>
    <s v="Administration"/>
    <x v="3"/>
    <s v="Recordable"/>
    <s v="Head"/>
    <x v="3"/>
    <s v="Day"/>
    <n v="0"/>
    <s v="Clear"/>
    <x v="1"/>
    <s v="Sarah Chen"/>
    <s v="In Progress"/>
    <s v="Complete"/>
    <n v="10"/>
    <n v="115582"/>
    <n v="1"/>
    <n v="0"/>
    <n v="0"/>
    <n v="0"/>
    <d v="2022-06-01T00:00:00"/>
    <s v="Darwin Port Facility|2022-06"/>
  </r>
  <r>
    <s v="INC-0261"/>
    <d v="2023-10-05T00:00:00"/>
    <x v="0"/>
    <n v="10"/>
    <s v="October"/>
    <s v="Q4"/>
    <x v="4"/>
    <s v="Processing"/>
    <x v="0"/>
    <s v="Non-Recordable"/>
    <s v="Nil (No Injury)"/>
    <x v="9"/>
    <s v="Night"/>
    <n v="0"/>
    <s v="Clear"/>
    <x v="1"/>
    <s v="Priya Nair"/>
    <s v="Closed"/>
    <s v="Complete"/>
    <n v="9"/>
    <n v="73438"/>
    <n v="0"/>
    <n v="0"/>
    <n v="1"/>
    <n v="0"/>
    <d v="2023-10-01T00:00:00"/>
    <s v="Katherine Processing Site|2023-10"/>
  </r>
  <r>
    <s v="INC-0262"/>
    <d v="2023-08-11T00:00:00"/>
    <x v="0"/>
    <n v="8"/>
    <s v="August"/>
    <s v="Q3"/>
    <x v="0"/>
    <s v="Maintenance"/>
    <x v="4"/>
    <s v="Non-Recordable"/>
    <s v="Nil (No Injury)"/>
    <x v="9"/>
    <s v="Day"/>
    <n v="0"/>
    <s v="Clear"/>
    <x v="0"/>
    <s v="Mark Daniels"/>
    <s v="Closed"/>
    <s v="Overdue"/>
    <n v="10"/>
    <n v="90197"/>
    <n v="0"/>
    <n v="0"/>
    <n v="0"/>
    <n v="0"/>
    <d v="2023-08-01T00:00:00"/>
    <s v="Thunderbird Mine|2023-08"/>
  </r>
  <r>
    <s v="INC-0263"/>
    <d v="2022-06-03T00:00:00"/>
    <x v="1"/>
    <n v="6"/>
    <s v="June"/>
    <s v="Q2"/>
    <x v="0"/>
    <s v="Construction"/>
    <x v="1"/>
    <s v="Non-Recordable"/>
    <s v="Knee"/>
    <x v="8"/>
    <s v="Night"/>
    <n v="0"/>
    <s v="Clear"/>
    <x v="1"/>
    <s v="Sarah Chen"/>
    <s v="Closed"/>
    <s v="Complete"/>
    <n v="12"/>
    <n v="88864"/>
    <n v="0"/>
    <n v="0"/>
    <n v="0"/>
    <n v="0"/>
    <d v="2022-06-01T00:00:00"/>
    <s v="Thunderbird Mine|2022-06"/>
  </r>
  <r>
    <s v="INC-0264"/>
    <d v="2022-05-03T00:00:00"/>
    <x v="1"/>
    <n v="5"/>
    <s v="May"/>
    <s v="Q2"/>
    <x v="0"/>
    <s v="Maintenance"/>
    <x v="5"/>
    <s v="Non-Recordable"/>
    <s v="Nil (No Injury)"/>
    <x v="8"/>
    <s v="Afternoon"/>
    <n v="0"/>
    <s v="Clear"/>
    <x v="1"/>
    <s v="Jo Smith"/>
    <s v="Open"/>
    <s v="Complete"/>
    <n v="10"/>
    <n v="82899"/>
    <n v="0"/>
    <n v="0"/>
    <n v="0"/>
    <n v="0"/>
    <d v="2022-05-01T00:00:00"/>
    <s v="Thunderbird Mine|2022-05"/>
  </r>
  <r>
    <s v="INC-0265"/>
    <d v="2022-03-30T00:00:00"/>
    <x v="1"/>
    <n v="3"/>
    <s v="March"/>
    <s v="Q1"/>
    <x v="4"/>
    <s v="Mining Operations"/>
    <x v="5"/>
    <s v="Non-Recordable"/>
    <s v="Nil (No Injury)"/>
    <x v="4"/>
    <s v="Day"/>
    <n v="0"/>
    <s v="Clear"/>
    <x v="2"/>
    <s v="Priya Nair"/>
    <s v="Closed"/>
    <s v="Overdue"/>
    <n v="10"/>
    <n v="117554"/>
    <n v="0"/>
    <n v="0"/>
    <n v="0"/>
    <n v="0"/>
    <d v="2022-03-01T00:00:00"/>
    <s v="Katherine Processing Site|2022-03"/>
  </r>
  <r>
    <s v="INC-0266"/>
    <d v="2023-05-21T00:00:00"/>
    <x v="0"/>
    <n v="5"/>
    <s v="May"/>
    <s v="Q2"/>
    <x v="1"/>
    <s v="Administration"/>
    <x v="2"/>
    <s v="Non-Recordable"/>
    <s v="Nil (No Injury)"/>
    <x v="9"/>
    <s v="Day"/>
    <n v="0"/>
    <s v="Clear"/>
    <x v="0"/>
    <s v="David Torres"/>
    <s v="Closed"/>
    <s v="Complete"/>
    <n v="12"/>
    <n v="85406"/>
    <n v="0"/>
    <n v="0"/>
    <n v="0"/>
    <n v="0"/>
    <d v="2023-05-01T00:00:00"/>
    <s v="Darwin Port Facility|2023-05"/>
  </r>
  <r>
    <s v="INC-0267"/>
    <d v="2023-10-14T00:00:00"/>
    <x v="0"/>
    <n v="10"/>
    <s v="October"/>
    <s v="Q4"/>
    <x v="0"/>
    <s v="Logistics"/>
    <x v="2"/>
    <s v="Non-Recordable"/>
    <s v="Nil (No Injury)"/>
    <x v="1"/>
    <s v="Afternoon"/>
    <n v="0"/>
    <s v="Rain"/>
    <x v="2"/>
    <s v="Jo Smith"/>
    <s v="Closed"/>
    <s v="Pending"/>
    <n v="9"/>
    <n v="95026"/>
    <n v="0"/>
    <n v="0"/>
    <n v="0"/>
    <n v="0"/>
    <d v="2023-10-01T00:00:00"/>
    <s v="Thunderbird Mine|2023-10"/>
  </r>
  <r>
    <s v="INC-0268"/>
    <d v="2023-05-19T00:00:00"/>
    <x v="0"/>
    <n v="5"/>
    <s v="May"/>
    <s v="Q2"/>
    <x v="1"/>
    <s v="Administration"/>
    <x v="0"/>
    <s v="Non-Recordable"/>
    <s v="Nil (No Injury)"/>
    <x v="0"/>
    <s v="Day"/>
    <n v="0"/>
    <s v="Clear"/>
    <x v="0"/>
    <s v="Priya Nair"/>
    <s v="Open"/>
    <s v="Complete"/>
    <n v="11"/>
    <n v="51128"/>
    <n v="0"/>
    <n v="0"/>
    <n v="0"/>
    <n v="0"/>
    <d v="2023-05-01T00:00:00"/>
    <s v="Darwin Port Facility|2023-05"/>
  </r>
  <r>
    <s v="INC-0269"/>
    <d v="2023-06-02T00:00:00"/>
    <x v="0"/>
    <n v="6"/>
    <s v="June"/>
    <s v="Q2"/>
    <x v="4"/>
    <s v="Mining Operations"/>
    <x v="1"/>
    <s v="Non-Recordable"/>
    <s v="Nil (No Injury)"/>
    <x v="7"/>
    <s v="Day"/>
    <n v="0"/>
    <s v="Rain"/>
    <x v="0"/>
    <s v="Mark Daniels"/>
    <s v="Closed"/>
    <s v="Complete"/>
    <n v="10"/>
    <n v="91505"/>
    <n v="0"/>
    <n v="0"/>
    <n v="0"/>
    <n v="0"/>
    <d v="2023-06-01T00:00:00"/>
    <s v="Katherine Processing Site|2023-06"/>
  </r>
  <r>
    <s v="INC-0270"/>
    <d v="2023-12-19T00:00:00"/>
    <x v="0"/>
    <n v="12"/>
    <s v="December"/>
    <s v="Q4"/>
    <x v="2"/>
    <s v="Logistics"/>
    <x v="2"/>
    <s v="Non-Recordable"/>
    <s v="Nil (No Injury)"/>
    <x v="5"/>
    <s v="Night"/>
    <n v="0"/>
    <s v="Clear"/>
    <x v="0"/>
    <s v="Mark Daniels"/>
    <s v="Closed"/>
    <s v="Pending"/>
    <n v="8"/>
    <n v="60369"/>
    <n v="0"/>
    <n v="0"/>
    <n v="0"/>
    <n v="0"/>
    <d v="2023-12-01T00:00:00"/>
    <s v="Pilbara Crusher Plant|2023-12"/>
  </r>
  <r>
    <s v="INC-0271"/>
    <d v="2022-04-19T00:00:00"/>
    <x v="1"/>
    <n v="4"/>
    <s v="April"/>
    <s v="Q2"/>
    <x v="4"/>
    <s v="Processing"/>
    <x v="1"/>
    <s v="Non-Recordable"/>
    <s v="Shoulder"/>
    <x v="2"/>
    <s v="Day"/>
    <n v="0"/>
    <s v="Extreme Heat"/>
    <x v="2"/>
    <s v="Mark Daniels"/>
    <s v="Open"/>
    <s v="Complete"/>
    <n v="11"/>
    <n v="74735"/>
    <n v="0"/>
    <n v="0"/>
    <n v="0"/>
    <n v="0"/>
    <d v="2022-04-01T00:00:00"/>
    <s v="Katherine Processing Site|2022-04"/>
  </r>
  <r>
    <s v="INC-0272"/>
    <d v="2024-05-22T00:00:00"/>
    <x v="2"/>
    <n v="5"/>
    <s v="May"/>
    <s v="Q2"/>
    <x v="0"/>
    <s v="Maintenance"/>
    <x v="0"/>
    <s v="Non-Recordable"/>
    <s v="Nil (No Injury)"/>
    <x v="0"/>
    <s v="Afternoon"/>
    <n v="0"/>
    <s v="Wind"/>
    <x v="0"/>
    <s v="Mark Daniels"/>
    <s v="Closed"/>
    <s v="Complete"/>
    <n v="8"/>
    <n v="72534"/>
    <n v="0"/>
    <n v="0"/>
    <n v="1"/>
    <n v="0"/>
    <d v="2024-05-01T00:00:00"/>
    <s v="Thunderbird Mine|2024-05"/>
  </r>
  <r>
    <s v="INC-0273"/>
    <d v="2023-02-10T00:00:00"/>
    <x v="0"/>
    <n v="2"/>
    <s v="February"/>
    <s v="Q1"/>
    <x v="0"/>
    <s v="Administration"/>
    <x v="5"/>
    <s v="Non-Recordable"/>
    <s v="Nil (No Injury)"/>
    <x v="0"/>
    <s v="Night"/>
    <n v="0"/>
    <s v="Overcast"/>
    <x v="0"/>
    <s v="Jo Smith"/>
    <s v="Open"/>
    <s v="Overdue"/>
    <n v="12"/>
    <n v="112105"/>
    <n v="0"/>
    <n v="0"/>
    <n v="0"/>
    <n v="0"/>
    <d v="2023-02-01T00:00:00"/>
    <s v="Thunderbird Mine|2023-02"/>
  </r>
  <r>
    <s v="INC-0274"/>
    <d v="2022-09-13T00:00:00"/>
    <x v="1"/>
    <n v="9"/>
    <s v="September"/>
    <s v="Q3"/>
    <x v="4"/>
    <s v="Mining Operations"/>
    <x v="0"/>
    <s v="Non-Recordable"/>
    <s v="Nil (No Injury)"/>
    <x v="6"/>
    <s v="Day"/>
    <n v="0"/>
    <s v="Clear"/>
    <x v="0"/>
    <s v="Mark Daniels"/>
    <s v="Closed"/>
    <s v="Complete"/>
    <n v="11"/>
    <n v="88790"/>
    <n v="0"/>
    <n v="0"/>
    <n v="0"/>
    <n v="0"/>
    <d v="2022-09-01T00:00:00"/>
    <s v="Katherine Processing Site|2022-09"/>
  </r>
  <r>
    <s v="INC-0275"/>
    <d v="2023-10-23T00:00:00"/>
    <x v="0"/>
    <n v="10"/>
    <s v="October"/>
    <s v="Q4"/>
    <x v="3"/>
    <s v="Construction"/>
    <x v="0"/>
    <s v="Non-Recordable"/>
    <s v="Nil (No Injury)"/>
    <x v="0"/>
    <s v="Day"/>
    <n v="0"/>
    <s v="Clear"/>
    <x v="0"/>
    <s v="Mark Daniels"/>
    <s v="Open"/>
    <s v="Complete"/>
    <n v="8"/>
    <n v="83456"/>
    <n v="0"/>
    <n v="0"/>
    <n v="0"/>
    <n v="0"/>
    <d v="2023-10-01T00:00:00"/>
    <s v="Broome Logistics Hub|2023-10"/>
  </r>
  <r>
    <s v="INC-0276"/>
    <d v="2023-04-18T00:00:00"/>
    <x v="0"/>
    <n v="4"/>
    <s v="April"/>
    <s v="Q2"/>
    <x v="1"/>
    <s v="Construction"/>
    <x v="0"/>
    <s v="Non-Recordable"/>
    <s v="Nil (No Injury)"/>
    <x v="2"/>
    <s v="Afternoon"/>
    <n v="0"/>
    <s v="Rain"/>
    <x v="1"/>
    <s v="Jo Smith"/>
    <s v="Open"/>
    <s v="Overdue"/>
    <n v="9"/>
    <n v="86392"/>
    <n v="0"/>
    <n v="0"/>
    <n v="0"/>
    <n v="0"/>
    <d v="2023-04-01T00:00:00"/>
    <s v="Darwin Port Facility|2023-04"/>
  </r>
  <r>
    <s v="INC-0277"/>
    <d v="2022-07-11T00:00:00"/>
    <x v="1"/>
    <n v="7"/>
    <s v="July"/>
    <s v="Q3"/>
    <x v="2"/>
    <s v="Processing"/>
    <x v="3"/>
    <s v="Recordable"/>
    <s v="Foot/Ankle"/>
    <x v="1"/>
    <s v="Afternoon"/>
    <n v="0"/>
    <s v="Extreme Heat"/>
    <x v="0"/>
    <s v="Sarah Chen"/>
    <s v="Open"/>
    <s v="Overdue"/>
    <n v="12"/>
    <n v="102787"/>
    <n v="1"/>
    <n v="0"/>
    <n v="0"/>
    <n v="0"/>
    <d v="2022-07-01T00:00:00"/>
    <s v="Pilbara Crusher Plant|2022-07"/>
  </r>
  <r>
    <s v="INC-0278"/>
    <d v="2022-03-04T00:00:00"/>
    <x v="1"/>
    <n v="3"/>
    <s v="March"/>
    <s v="Q1"/>
    <x v="2"/>
    <s v="Processing"/>
    <x v="0"/>
    <s v="Non-Recordable"/>
    <s v="Nil (No Injury)"/>
    <x v="6"/>
    <s v="Night"/>
    <n v="0"/>
    <s v="Clear"/>
    <x v="0"/>
    <s v="Priya Nair"/>
    <s v="Closed"/>
    <s v="Overdue"/>
    <n v="10"/>
    <n v="102873"/>
    <n v="0"/>
    <n v="0"/>
    <n v="0"/>
    <n v="0"/>
    <d v="2022-03-01T00:00:00"/>
    <s v="Pilbara Crusher Plant|2022-03"/>
  </r>
  <r>
    <s v="INC-0279"/>
    <d v="2023-05-12T00:00:00"/>
    <x v="0"/>
    <n v="5"/>
    <s v="May"/>
    <s v="Q2"/>
    <x v="3"/>
    <s v="Construction"/>
    <x v="3"/>
    <s v="Recordable"/>
    <s v="Shoulder"/>
    <x v="2"/>
    <s v="Night"/>
    <n v="0"/>
    <s v="Clear"/>
    <x v="0"/>
    <s v="Sarah Chen"/>
    <s v="In Progress"/>
    <s v="Complete"/>
    <n v="8"/>
    <n v="76822"/>
    <n v="1"/>
    <n v="0"/>
    <n v="0"/>
    <n v="0"/>
    <d v="2023-05-01T00:00:00"/>
    <s v="Broome Logistics Hub|2023-05"/>
  </r>
  <r>
    <s v="INC-0280"/>
    <d v="2022-03-01T00:00:00"/>
    <x v="1"/>
    <n v="3"/>
    <s v="March"/>
    <s v="Q1"/>
    <x v="4"/>
    <s v="Construction"/>
    <x v="2"/>
    <s v="Non-Recordable"/>
    <s v="Nil (No Injury)"/>
    <x v="4"/>
    <s v="Afternoon"/>
    <n v="0"/>
    <s v="Clear"/>
    <x v="0"/>
    <s v="Jo Smith"/>
    <s v="Closed"/>
    <s v="Complete"/>
    <n v="10"/>
    <n v="109951"/>
    <n v="0"/>
    <n v="0"/>
    <n v="0"/>
    <n v="0"/>
    <d v="2022-03-01T00:00:00"/>
    <s v="Katherine Processing Site|2022-03"/>
  </r>
  <r>
    <s v="INC-0281"/>
    <d v="2024-04-15T00:00:00"/>
    <x v="2"/>
    <n v="4"/>
    <s v="April"/>
    <s v="Q2"/>
    <x v="0"/>
    <s v="Maintenance"/>
    <x v="2"/>
    <s v="Non-Recordable"/>
    <s v="Nil (No Injury)"/>
    <x v="7"/>
    <s v="Night"/>
    <n v="0"/>
    <s v="Clear"/>
    <x v="0"/>
    <s v="Mark Daniels"/>
    <s v="Closed"/>
    <s v="Pending"/>
    <n v="10"/>
    <n v="87026"/>
    <n v="0"/>
    <n v="0"/>
    <n v="0"/>
    <n v="0"/>
    <d v="2024-04-01T00:00:00"/>
    <s v="Thunderbird Mine|2024-04"/>
  </r>
  <r>
    <s v="INC-0282"/>
    <d v="2023-08-29T00:00:00"/>
    <x v="0"/>
    <n v="8"/>
    <s v="August"/>
    <s v="Q3"/>
    <x v="2"/>
    <s v="Construction"/>
    <x v="0"/>
    <s v="Non-Recordable"/>
    <s v="Nil (No Injury)"/>
    <x v="7"/>
    <s v="Day"/>
    <n v="0"/>
    <s v="Extreme Heat"/>
    <x v="0"/>
    <s v="David Torres"/>
    <s v="In Progress"/>
    <s v="Complete"/>
    <n v="9"/>
    <n v="104282"/>
    <n v="0"/>
    <n v="0"/>
    <n v="0"/>
    <n v="0"/>
    <d v="2023-08-01T00:00:00"/>
    <s v="Pilbara Crusher Plant|2023-08"/>
  </r>
  <r>
    <s v="INC-0283"/>
    <d v="2022-02-27T00:00:00"/>
    <x v="1"/>
    <n v="2"/>
    <s v="February"/>
    <s v="Q1"/>
    <x v="3"/>
    <s v="Maintenance"/>
    <x v="1"/>
    <s v="Non-Recordable"/>
    <s v="Hand/Fingers"/>
    <x v="9"/>
    <s v="Night"/>
    <n v="0"/>
    <s v="Clear"/>
    <x v="2"/>
    <s v="Priya Nair"/>
    <s v="Closed"/>
    <s v="Complete"/>
    <n v="10"/>
    <n v="63260"/>
    <n v="0"/>
    <n v="0"/>
    <n v="0"/>
    <n v="0"/>
    <d v="2022-02-01T00:00:00"/>
    <s v="Broome Logistics Hub|2022-02"/>
  </r>
  <r>
    <s v="INC-0284"/>
    <d v="2024-04-01T00:00:00"/>
    <x v="2"/>
    <n v="4"/>
    <s v="April"/>
    <s v="Q2"/>
    <x v="2"/>
    <s v="Mining Operations"/>
    <x v="2"/>
    <s v="Non-Recordable"/>
    <s v="Nil (No Injury)"/>
    <x v="1"/>
    <s v="Day"/>
    <n v="0"/>
    <s v="Extreme Heat"/>
    <x v="0"/>
    <s v="Jo Smith"/>
    <s v="In Progress"/>
    <s v="Complete"/>
    <n v="8"/>
    <n v="88967"/>
    <n v="0"/>
    <n v="0"/>
    <n v="0"/>
    <n v="0"/>
    <d v="2024-04-01T00:00:00"/>
    <s v="Pilbara Crusher Plant|2024-04"/>
  </r>
  <r>
    <s v="INC-0285"/>
    <d v="2023-12-23T00:00:00"/>
    <x v="0"/>
    <n v="12"/>
    <s v="December"/>
    <s v="Q4"/>
    <x v="4"/>
    <s v="Construction"/>
    <x v="4"/>
    <s v="Non-Recordable"/>
    <s v="Nil (No Injury)"/>
    <x v="3"/>
    <s v="Night"/>
    <n v="0"/>
    <s v="Clear"/>
    <x v="2"/>
    <s v="Mark Daniels"/>
    <s v="Closed"/>
    <s v="Overdue"/>
    <n v="11"/>
    <n v="81586"/>
    <n v="0"/>
    <n v="0"/>
    <n v="0"/>
    <n v="0"/>
    <d v="2023-12-01T00:00:00"/>
    <s v="Katherine Processing Site|2023-12"/>
  </r>
  <r>
    <s v="INC-0286"/>
    <d v="2022-06-28T00:00:00"/>
    <x v="1"/>
    <n v="6"/>
    <s v="June"/>
    <s v="Q2"/>
    <x v="3"/>
    <s v="Administration"/>
    <x v="4"/>
    <s v="Non-Recordable"/>
    <s v="Nil (No Injury)"/>
    <x v="7"/>
    <s v="Night"/>
    <n v="0"/>
    <s v="Clear"/>
    <x v="0"/>
    <s v="David Torres"/>
    <s v="Closed"/>
    <s v="Complete"/>
    <n v="9"/>
    <n v="63292"/>
    <n v="0"/>
    <n v="0"/>
    <n v="0"/>
    <n v="0"/>
    <d v="2022-06-01T00:00:00"/>
    <s v="Broome Logistics Hub|2022-06"/>
  </r>
  <r>
    <s v="INC-0287"/>
    <d v="2024-01-17T00:00:00"/>
    <x v="2"/>
    <n v="1"/>
    <s v="January"/>
    <s v="Q1"/>
    <x v="3"/>
    <s v="Processing"/>
    <x v="0"/>
    <s v="Non-Recordable"/>
    <s v="Nil (No Injury)"/>
    <x v="7"/>
    <s v="Day"/>
    <n v="0"/>
    <s v="Clear"/>
    <x v="2"/>
    <s v="Priya Nair"/>
    <s v="Closed"/>
    <s v="Pending"/>
    <n v="8"/>
    <n v="105035"/>
    <n v="0"/>
    <n v="0"/>
    <n v="0"/>
    <n v="0"/>
    <d v="2024-01-01T00:00:00"/>
    <s v="Broome Logistics Hub|2024-01"/>
  </r>
  <r>
    <s v="INC-0288"/>
    <d v="2024-02-03T00:00:00"/>
    <x v="2"/>
    <n v="2"/>
    <s v="February"/>
    <s v="Q1"/>
    <x v="1"/>
    <s v="Logistics"/>
    <x v="0"/>
    <s v="Non-Recordable"/>
    <s v="Nil (No Injury)"/>
    <x v="4"/>
    <s v="Day"/>
    <n v="0"/>
    <s v="Wind"/>
    <x v="0"/>
    <s v="Sarah Chen"/>
    <s v="Open"/>
    <s v="Complete"/>
    <n v="10"/>
    <n v="67483"/>
    <n v="0"/>
    <n v="0"/>
    <n v="0"/>
    <n v="0"/>
    <d v="2024-02-01T00:00:00"/>
    <s v="Darwin Port Facility|2024-02"/>
  </r>
  <r>
    <s v="INC-0289"/>
    <d v="2022-03-11T00:00:00"/>
    <x v="1"/>
    <n v="3"/>
    <s v="March"/>
    <s v="Q1"/>
    <x v="2"/>
    <s v="Mining Operations"/>
    <x v="3"/>
    <s v="Recordable"/>
    <s v="Hand/Fingers"/>
    <x v="1"/>
    <s v="Night"/>
    <n v="0"/>
    <s v="Rain"/>
    <x v="1"/>
    <s v="Mark Daniels"/>
    <s v="Open"/>
    <s v="Overdue"/>
    <n v="11"/>
    <n v="86036"/>
    <n v="1"/>
    <n v="0"/>
    <n v="0"/>
    <n v="0"/>
    <d v="2022-03-01T00:00:00"/>
    <s v="Pilbara Crusher Plant|2022-03"/>
  </r>
  <r>
    <s v="INC-0290"/>
    <d v="2023-07-14T00:00:00"/>
    <x v="0"/>
    <n v="7"/>
    <s v="July"/>
    <s v="Q3"/>
    <x v="4"/>
    <s v="Construction"/>
    <x v="6"/>
    <s v="Recordable"/>
    <s v="Eye"/>
    <x v="6"/>
    <s v="Night"/>
    <n v="4"/>
    <s v="Clear"/>
    <x v="0"/>
    <s v="Sarah Chen"/>
    <s v="Closed"/>
    <s v="Complete"/>
    <n v="10"/>
    <n v="53726"/>
    <n v="1"/>
    <n v="0"/>
    <n v="0"/>
    <n v="1"/>
    <d v="2023-07-01T00:00:00"/>
    <s v="Katherine Processing Site|2023-07"/>
  </r>
  <r>
    <s v="INC-0291"/>
    <d v="2022-06-24T00:00:00"/>
    <x v="1"/>
    <n v="6"/>
    <s v="June"/>
    <s v="Q2"/>
    <x v="0"/>
    <s v="Construction"/>
    <x v="6"/>
    <s v="Recordable"/>
    <s v="Back/Spine"/>
    <x v="4"/>
    <s v="Afternoon"/>
    <n v="6"/>
    <s v="Extreme Heat"/>
    <x v="1"/>
    <s v="Jo Smith"/>
    <s v="Open"/>
    <s v="Complete"/>
    <n v="12"/>
    <n v="96911"/>
    <n v="1"/>
    <n v="0"/>
    <n v="0"/>
    <n v="1"/>
    <d v="2022-06-01T00:00:00"/>
    <s v="Thunderbird Mine|2022-06"/>
  </r>
  <r>
    <s v="INC-0292"/>
    <d v="2022-04-14T00:00:00"/>
    <x v="1"/>
    <n v="4"/>
    <s v="April"/>
    <s v="Q2"/>
    <x v="1"/>
    <s v="Maintenance"/>
    <x v="3"/>
    <s v="Recordable"/>
    <s v="Knee"/>
    <x v="9"/>
    <s v="Afternoon"/>
    <n v="0"/>
    <s v="Wind"/>
    <x v="2"/>
    <s v="Sarah Chen"/>
    <s v="Closed"/>
    <s v="Complete"/>
    <n v="8"/>
    <n v="46505"/>
    <n v="1"/>
    <n v="0"/>
    <n v="0"/>
    <n v="0"/>
    <d v="2022-04-01T00:00:00"/>
    <s v="Darwin Port Facility|2022-04"/>
  </r>
  <r>
    <s v="INC-0293"/>
    <d v="2023-02-07T00:00:00"/>
    <x v="0"/>
    <n v="2"/>
    <s v="February"/>
    <s v="Q1"/>
    <x v="3"/>
    <s v="Processing"/>
    <x v="5"/>
    <s v="Non-Recordable"/>
    <s v="Nil (No Injury)"/>
    <x v="6"/>
    <s v="Day"/>
    <n v="0"/>
    <s v="Clear"/>
    <x v="0"/>
    <s v="David Torres"/>
    <s v="Closed"/>
    <s v="Complete"/>
    <n v="12"/>
    <n v="102957"/>
    <n v="0"/>
    <n v="0"/>
    <n v="0"/>
    <n v="0"/>
    <d v="2023-02-01T00:00:00"/>
    <s v="Broome Logistics Hub|2023-02"/>
  </r>
  <r>
    <s v="INC-0294"/>
    <d v="2022-07-24T00:00:00"/>
    <x v="1"/>
    <n v="7"/>
    <s v="July"/>
    <s v="Q3"/>
    <x v="0"/>
    <s v="Maintenance"/>
    <x v="0"/>
    <s v="Non-Recordable"/>
    <s v="Nil (No Injury)"/>
    <x v="6"/>
    <s v="Afternoon"/>
    <n v="0"/>
    <s v="Clear"/>
    <x v="0"/>
    <s v="David Torres"/>
    <s v="Closed"/>
    <s v="Complete"/>
    <n v="11"/>
    <n v="101727"/>
    <n v="0"/>
    <n v="0"/>
    <n v="0"/>
    <n v="0"/>
    <d v="2022-07-01T00:00:00"/>
    <s v="Thunderbird Mine|2022-07"/>
  </r>
  <r>
    <s v="INC-0295"/>
    <d v="2023-11-08T00:00:00"/>
    <x v="0"/>
    <n v="11"/>
    <s v="November"/>
    <s v="Q4"/>
    <x v="0"/>
    <s v="Administration"/>
    <x v="3"/>
    <s v="Recordable"/>
    <s v="Nil (No Injury)"/>
    <x v="2"/>
    <s v="Day"/>
    <n v="0"/>
    <s v="Clear"/>
    <x v="1"/>
    <s v="Sarah Chen"/>
    <s v="Closed"/>
    <s v="Overdue"/>
    <n v="8"/>
    <n v="74510"/>
    <n v="1"/>
    <n v="0"/>
    <n v="0"/>
    <n v="0"/>
    <d v="2023-11-01T00:00:00"/>
    <s v="Thunderbird Mine|2023-11"/>
  </r>
  <r>
    <s v="INC-0296"/>
    <d v="2023-03-27T00:00:00"/>
    <x v="0"/>
    <n v="3"/>
    <s v="March"/>
    <s v="Q1"/>
    <x v="1"/>
    <s v="Logistics"/>
    <x v="6"/>
    <s v="Recordable"/>
    <s v="Nil (No Injury)"/>
    <x v="1"/>
    <s v="Day"/>
    <n v="9"/>
    <s v="Overcast"/>
    <x v="0"/>
    <s v="Jo Smith"/>
    <s v="Closed"/>
    <s v="Pending"/>
    <n v="11"/>
    <n v="117296"/>
    <n v="1"/>
    <n v="0"/>
    <n v="0"/>
    <n v="1"/>
    <d v="2023-03-01T00:00:00"/>
    <s v="Darwin Port Facility|2023-03"/>
  </r>
  <r>
    <s v="INC-0297"/>
    <d v="2022-03-04T00:00:00"/>
    <x v="1"/>
    <n v="3"/>
    <s v="March"/>
    <s v="Q1"/>
    <x v="4"/>
    <s v="Construction"/>
    <x v="2"/>
    <s v="Non-Recordable"/>
    <s v="Nil (No Injury)"/>
    <x v="2"/>
    <s v="Afternoon"/>
    <n v="0"/>
    <s v="Wind"/>
    <x v="1"/>
    <s v="Priya Nair"/>
    <s v="Closed"/>
    <s v="Overdue"/>
    <n v="10"/>
    <n v="50348"/>
    <n v="0"/>
    <n v="0"/>
    <n v="0"/>
    <n v="0"/>
    <d v="2022-03-01T00:00:00"/>
    <s v="Katherine Processing Site|2022-03"/>
  </r>
  <r>
    <s v="INC-0298"/>
    <d v="2023-02-09T00:00:00"/>
    <x v="0"/>
    <n v="2"/>
    <s v="February"/>
    <s v="Q1"/>
    <x v="0"/>
    <s v="Construction"/>
    <x v="2"/>
    <s v="Non-Recordable"/>
    <s v="Nil (No Injury)"/>
    <x v="7"/>
    <s v="Afternoon"/>
    <n v="0"/>
    <s v="Overcast"/>
    <x v="0"/>
    <s v="Jo Smith"/>
    <s v="Open"/>
    <s v="Complete"/>
    <n v="9"/>
    <n v="67772"/>
    <n v="0"/>
    <n v="0"/>
    <n v="0"/>
    <n v="0"/>
    <d v="2023-02-01T00:00:00"/>
    <s v="Thunderbird Mine|2023-02"/>
  </r>
  <r>
    <s v="INC-0299"/>
    <d v="2024-04-07T00:00:00"/>
    <x v="2"/>
    <n v="4"/>
    <s v="April"/>
    <s v="Q2"/>
    <x v="1"/>
    <s v="Mining Operations"/>
    <x v="1"/>
    <s v="Non-Recordable"/>
    <s v="Knee"/>
    <x v="3"/>
    <s v="Afternoon"/>
    <n v="0"/>
    <s v="Rain"/>
    <x v="0"/>
    <s v="Mark Daniels"/>
    <s v="In Progress"/>
    <s v="Complete"/>
    <n v="10"/>
    <n v="48783"/>
    <n v="0"/>
    <n v="0"/>
    <n v="0"/>
    <n v="0"/>
    <d v="2024-04-01T00:00:00"/>
    <s v="Darwin Port Facility|2024-04"/>
  </r>
  <r>
    <s v="INC-0300"/>
    <d v="2022-03-31T00:00:00"/>
    <x v="1"/>
    <n v="3"/>
    <s v="March"/>
    <s v="Q1"/>
    <x v="4"/>
    <s v="Construction"/>
    <x v="6"/>
    <s v="Recordable"/>
    <s v="Shoulder"/>
    <x v="0"/>
    <s v="Afternoon"/>
    <n v="18"/>
    <s v="Rain"/>
    <x v="0"/>
    <s v="Priya Nair"/>
    <s v="In Progress"/>
    <s v="Pending"/>
    <n v="11"/>
    <n v="54748"/>
    <n v="1"/>
    <n v="0"/>
    <n v="0"/>
    <n v="1"/>
    <d v="2022-03-01T00:00:00"/>
    <s v="Katherine Processing Site|2022-03"/>
  </r>
  <r>
    <s v="INC-0301"/>
    <d v="2022-06-01T00:00:00"/>
    <x v="1"/>
    <n v="6"/>
    <s v="June"/>
    <s v="Q2"/>
    <x v="3"/>
    <s v="Construction"/>
    <x v="5"/>
    <s v="Non-Recordable"/>
    <s v="Nil (No Injury)"/>
    <x v="3"/>
    <s v="Day"/>
    <n v="0"/>
    <s v="Extreme Heat"/>
    <x v="0"/>
    <s v="Sarah Chen"/>
    <s v="In Progress"/>
    <s v="Complete"/>
    <n v="11"/>
    <n v="74620"/>
    <n v="0"/>
    <n v="0"/>
    <n v="0"/>
    <n v="0"/>
    <d v="2022-06-01T00:00:00"/>
    <s v="Broome Logistics Hub|2022-06"/>
  </r>
  <r>
    <s v="INC-0302"/>
    <d v="2023-01-28T00:00:00"/>
    <x v="0"/>
    <n v="1"/>
    <s v="January"/>
    <s v="Q1"/>
    <x v="4"/>
    <s v="Construction"/>
    <x v="4"/>
    <s v="Non-Recordable"/>
    <s v="Nil (No Injury)"/>
    <x v="7"/>
    <s v="Night"/>
    <n v="0"/>
    <s v="Clear"/>
    <x v="0"/>
    <s v="Sarah Chen"/>
    <s v="Open"/>
    <s v="Complete"/>
    <n v="12"/>
    <n v="119777"/>
    <n v="0"/>
    <n v="0"/>
    <n v="0"/>
    <n v="0"/>
    <d v="2023-01-01T00:00:00"/>
    <s v="Katherine Processing Site|2023-01"/>
  </r>
  <r>
    <s v="INC-0303"/>
    <d v="2023-11-29T00:00:00"/>
    <x v="0"/>
    <n v="11"/>
    <s v="November"/>
    <s v="Q4"/>
    <x v="4"/>
    <s v="Mining Operations"/>
    <x v="4"/>
    <s v="Non-Recordable"/>
    <s v="Nil (No Injury)"/>
    <x v="2"/>
    <s v="Night"/>
    <n v="0"/>
    <s v="Wind"/>
    <x v="0"/>
    <s v="Jo Smith"/>
    <s v="Open"/>
    <s v="Complete"/>
    <n v="10"/>
    <n v="42651"/>
    <n v="0"/>
    <n v="0"/>
    <n v="0"/>
    <n v="0"/>
    <d v="2023-11-01T00:00:00"/>
    <s v="Katherine Processing Site|2023-11"/>
  </r>
  <r>
    <s v="INC-0304"/>
    <d v="2022-12-12T00:00:00"/>
    <x v="1"/>
    <n v="12"/>
    <s v="December"/>
    <s v="Q4"/>
    <x v="2"/>
    <s v="Logistics"/>
    <x v="2"/>
    <s v="Non-Recordable"/>
    <s v="Nil (No Injury)"/>
    <x v="0"/>
    <s v="Night"/>
    <n v="0"/>
    <s v="Overcast"/>
    <x v="0"/>
    <s v="Mark Daniels"/>
    <s v="Closed"/>
    <s v="Complete"/>
    <n v="11"/>
    <n v="82056"/>
    <n v="0"/>
    <n v="0"/>
    <n v="0"/>
    <n v="0"/>
    <d v="2022-12-01T00:00:00"/>
    <s v="Pilbara Crusher Plant|2022-12"/>
  </r>
  <r>
    <s v="INC-0305"/>
    <d v="2022-10-03T00:00:00"/>
    <x v="1"/>
    <n v="10"/>
    <s v="October"/>
    <s v="Q4"/>
    <x v="4"/>
    <s v="Construction"/>
    <x v="4"/>
    <s v="Non-Recordable"/>
    <s v="Nil (No Injury)"/>
    <x v="3"/>
    <s v="Day"/>
    <n v="0"/>
    <s v="Rain"/>
    <x v="0"/>
    <s v="David Torres"/>
    <s v="Open"/>
    <s v="Pending"/>
    <n v="10"/>
    <n v="47367"/>
    <n v="0"/>
    <n v="0"/>
    <n v="0"/>
    <n v="0"/>
    <d v="2022-10-01T00:00:00"/>
    <s v="Katherine Processing Site|2022-10"/>
  </r>
  <r>
    <s v="INC-0306"/>
    <d v="2023-06-12T00:00:00"/>
    <x v="0"/>
    <n v="6"/>
    <s v="June"/>
    <s v="Q2"/>
    <x v="1"/>
    <s v="Mining Operations"/>
    <x v="2"/>
    <s v="Non-Recordable"/>
    <s v="Nil (No Injury)"/>
    <x v="0"/>
    <s v="Afternoon"/>
    <n v="0"/>
    <s v="Extreme Heat"/>
    <x v="1"/>
    <s v="Mark Daniels"/>
    <s v="In Progress"/>
    <s v="Pending"/>
    <n v="8"/>
    <n v="62772"/>
    <n v="0"/>
    <n v="0"/>
    <n v="0"/>
    <n v="0"/>
    <d v="2023-06-01T00:00:00"/>
    <s v="Darwin Port Facility|2023-06"/>
  </r>
  <r>
    <s v="INC-0307"/>
    <d v="2022-07-17T00:00:00"/>
    <x v="1"/>
    <n v="7"/>
    <s v="July"/>
    <s v="Q3"/>
    <x v="1"/>
    <s v="Mining Operations"/>
    <x v="2"/>
    <s v="Non-Recordable"/>
    <s v="Nil (No Injury)"/>
    <x v="8"/>
    <s v="Day"/>
    <n v="0"/>
    <s v="Rain"/>
    <x v="0"/>
    <s v="Sarah Chen"/>
    <s v="Closed"/>
    <s v="Complete"/>
    <n v="10"/>
    <n v="100846"/>
    <n v="0"/>
    <n v="0"/>
    <n v="0"/>
    <n v="0"/>
    <d v="2022-07-01T00:00:00"/>
    <s v="Darwin Port Facility|2022-07"/>
  </r>
  <r>
    <s v="INC-0308"/>
    <d v="2023-06-02T00:00:00"/>
    <x v="0"/>
    <n v="6"/>
    <s v="June"/>
    <s v="Q2"/>
    <x v="0"/>
    <s v="Administration"/>
    <x v="6"/>
    <s v="Recordable"/>
    <s v="Hand/Fingers"/>
    <x v="8"/>
    <s v="Night"/>
    <n v="21"/>
    <s v="Rain"/>
    <x v="1"/>
    <s v="Mark Daniels"/>
    <s v="Open"/>
    <s v="Pending"/>
    <n v="12"/>
    <n v="85843"/>
    <n v="1"/>
    <n v="0"/>
    <n v="0"/>
    <n v="1"/>
    <d v="2023-06-01T00:00:00"/>
    <s v="Thunderbird Mine|2023-06"/>
  </r>
  <r>
    <s v="INC-0309"/>
    <d v="2024-05-07T00:00:00"/>
    <x v="2"/>
    <n v="5"/>
    <s v="May"/>
    <s v="Q2"/>
    <x v="0"/>
    <s v="Logistics"/>
    <x v="3"/>
    <s v="Recordable"/>
    <s v="Hand/Fingers"/>
    <x v="2"/>
    <s v="Day"/>
    <n v="0"/>
    <s v="Clear"/>
    <x v="0"/>
    <s v="Mark Daniels"/>
    <s v="Closed"/>
    <s v="Complete"/>
    <n v="10"/>
    <n v="93674"/>
    <n v="1"/>
    <n v="0"/>
    <n v="0"/>
    <n v="0"/>
    <d v="2024-05-01T00:00:00"/>
    <s v="Thunderbird Mine|2024-05"/>
  </r>
  <r>
    <s v="INC-0310"/>
    <d v="2023-06-10T00:00:00"/>
    <x v="0"/>
    <n v="6"/>
    <s v="June"/>
    <s v="Q2"/>
    <x v="0"/>
    <s v="Processing"/>
    <x v="0"/>
    <s v="Non-Recordable"/>
    <s v="Nil (No Injury)"/>
    <x v="6"/>
    <s v="Afternoon"/>
    <n v="0"/>
    <s v="Clear"/>
    <x v="0"/>
    <s v="Mark Daniels"/>
    <s v="Closed"/>
    <s v="Pending"/>
    <n v="10"/>
    <n v="76094"/>
    <n v="0"/>
    <n v="0"/>
    <n v="0"/>
    <n v="0"/>
    <d v="2023-06-01T00:00:00"/>
    <s v="Thunderbird Mine|2023-06"/>
  </r>
  <r>
    <s v="INC-0311"/>
    <d v="2023-01-21T00:00:00"/>
    <x v="0"/>
    <n v="1"/>
    <s v="January"/>
    <s v="Q1"/>
    <x v="2"/>
    <s v="Processing"/>
    <x v="2"/>
    <s v="Non-Recordable"/>
    <s v="Nil (No Injury)"/>
    <x v="0"/>
    <s v="Day"/>
    <n v="0"/>
    <s v="Rain"/>
    <x v="2"/>
    <s v="Priya Nair"/>
    <s v="In Progress"/>
    <s v="Overdue"/>
    <n v="12"/>
    <n v="53410"/>
    <n v="0"/>
    <n v="0"/>
    <n v="0"/>
    <n v="0"/>
    <d v="2023-01-01T00:00:00"/>
    <s v="Pilbara Crusher Plant|2023-01"/>
  </r>
  <r>
    <s v="INC-0312"/>
    <d v="2022-01-08T00:00:00"/>
    <x v="1"/>
    <n v="1"/>
    <s v="January"/>
    <s v="Q1"/>
    <x v="2"/>
    <s v="Construction"/>
    <x v="5"/>
    <s v="Non-Recordable"/>
    <s v="Nil (No Injury)"/>
    <x v="7"/>
    <s v="Afternoon"/>
    <n v="0"/>
    <s v="Clear"/>
    <x v="2"/>
    <s v="Jo Smith"/>
    <s v="Open"/>
    <s v="Complete"/>
    <n v="10"/>
    <n v="76239"/>
    <n v="0"/>
    <n v="0"/>
    <n v="0"/>
    <n v="0"/>
    <d v="2022-01-01T00:00:00"/>
    <s v="Pilbara Crusher Plant|2022-01"/>
  </r>
  <r>
    <s v="INC-0313"/>
    <d v="2023-10-18T00:00:00"/>
    <x v="0"/>
    <n v="10"/>
    <s v="October"/>
    <s v="Q4"/>
    <x v="2"/>
    <s v="Logistics"/>
    <x v="3"/>
    <s v="Recordable"/>
    <s v="Head"/>
    <x v="8"/>
    <s v="Day"/>
    <n v="0"/>
    <s v="Extreme Heat"/>
    <x v="0"/>
    <s v="Jo Smith"/>
    <s v="In Progress"/>
    <s v="Overdue"/>
    <n v="10"/>
    <n v="58340"/>
    <n v="1"/>
    <n v="0"/>
    <n v="0"/>
    <n v="0"/>
    <d v="2023-10-01T00:00:00"/>
    <s v="Pilbara Crusher Plant|2023-10"/>
  </r>
  <r>
    <s v="INC-0314"/>
    <d v="2024-01-09T00:00:00"/>
    <x v="2"/>
    <n v="1"/>
    <s v="January"/>
    <s v="Q1"/>
    <x v="4"/>
    <s v="Logistics"/>
    <x v="0"/>
    <s v="Non-Recordable"/>
    <s v="Nil (No Injury)"/>
    <x v="0"/>
    <s v="Night"/>
    <n v="0"/>
    <s v="Rain"/>
    <x v="1"/>
    <s v="Jo Smith"/>
    <s v="In Progress"/>
    <s v="Pending"/>
    <n v="9"/>
    <n v="84979"/>
    <n v="0"/>
    <n v="0"/>
    <n v="1"/>
    <n v="0"/>
    <d v="2024-01-01T00:00:00"/>
    <s v="Katherine Processing Site|2024-01"/>
  </r>
  <r>
    <s v="INC-0315"/>
    <d v="2022-08-16T00:00:00"/>
    <x v="1"/>
    <n v="8"/>
    <s v="August"/>
    <s v="Q3"/>
    <x v="3"/>
    <s v="Administration"/>
    <x v="4"/>
    <s v="Non-Recordable"/>
    <s v="Nil (No Injury)"/>
    <x v="5"/>
    <s v="Afternoon"/>
    <n v="0"/>
    <s v="Clear"/>
    <x v="2"/>
    <s v="Mark Daniels"/>
    <s v="In Progress"/>
    <s v="Complete"/>
    <n v="10"/>
    <n v="52793"/>
    <n v="0"/>
    <n v="0"/>
    <n v="0"/>
    <n v="0"/>
    <d v="2022-08-01T00:00:00"/>
    <s v="Broome Logistics Hub|2022-08"/>
  </r>
  <r>
    <s v="INC-0316"/>
    <d v="2023-04-28T00:00:00"/>
    <x v="0"/>
    <n v="4"/>
    <s v="April"/>
    <s v="Q2"/>
    <x v="2"/>
    <s v="Administration"/>
    <x v="1"/>
    <s v="Non-Recordable"/>
    <s v="Nil (No Injury)"/>
    <x v="6"/>
    <s v="Afternoon"/>
    <n v="0"/>
    <s v="Clear"/>
    <x v="0"/>
    <s v="Mark Daniels"/>
    <s v="Closed"/>
    <s v="Complete"/>
    <n v="10"/>
    <n v="95112"/>
    <n v="0"/>
    <n v="0"/>
    <n v="0"/>
    <n v="0"/>
    <d v="2023-04-01T00:00:00"/>
    <s v="Pilbara Crusher Plant|2023-04"/>
  </r>
  <r>
    <s v="INC-0317"/>
    <d v="2024-03-18T00:00:00"/>
    <x v="2"/>
    <n v="3"/>
    <s v="March"/>
    <s v="Q1"/>
    <x v="2"/>
    <s v="Logistics"/>
    <x v="3"/>
    <s v="Recordable"/>
    <s v="Nil (No Injury)"/>
    <x v="0"/>
    <s v="Night"/>
    <n v="0"/>
    <s v="Overcast"/>
    <x v="0"/>
    <s v="David Torres"/>
    <s v="Closed"/>
    <s v="Pending"/>
    <n v="12"/>
    <n v="49334"/>
    <n v="1"/>
    <n v="0"/>
    <n v="0"/>
    <n v="0"/>
    <d v="2024-03-01T00:00:00"/>
    <s v="Pilbara Crusher Plant|2024-03"/>
  </r>
  <r>
    <s v="INC-0318"/>
    <d v="2023-04-29T00:00:00"/>
    <x v="0"/>
    <n v="4"/>
    <s v="April"/>
    <s v="Q2"/>
    <x v="3"/>
    <s v="Mining Operations"/>
    <x v="1"/>
    <s v="Non-Recordable"/>
    <s v="Knee"/>
    <x v="9"/>
    <s v="Night"/>
    <n v="0"/>
    <s v="Rain"/>
    <x v="0"/>
    <s v="Mark Daniels"/>
    <s v="Closed"/>
    <s v="Complete"/>
    <n v="10"/>
    <n v="93633"/>
    <n v="0"/>
    <n v="0"/>
    <n v="0"/>
    <n v="0"/>
    <d v="2023-04-01T00:00:00"/>
    <s v="Broome Logistics Hub|2023-04"/>
  </r>
  <r>
    <s v="INC-0319"/>
    <d v="2023-08-07T00:00:00"/>
    <x v="0"/>
    <n v="8"/>
    <s v="August"/>
    <s v="Q3"/>
    <x v="2"/>
    <s v="Administration"/>
    <x v="6"/>
    <s v="Recordable"/>
    <s v="Foot/Ankle"/>
    <x v="3"/>
    <s v="Night"/>
    <n v="5"/>
    <s v="Clear"/>
    <x v="0"/>
    <s v="Sarah Chen"/>
    <s v="Closed"/>
    <s v="Complete"/>
    <n v="11"/>
    <n v="75851"/>
    <n v="1"/>
    <n v="0"/>
    <n v="0"/>
    <n v="1"/>
    <d v="2023-08-01T00:00:00"/>
    <s v="Pilbara Crusher Plant|2023-08"/>
  </r>
  <r>
    <s v="INC-0320"/>
    <d v="2024-03-03T00:00:00"/>
    <x v="2"/>
    <n v="3"/>
    <s v="March"/>
    <s v="Q1"/>
    <x v="3"/>
    <s v="Maintenance"/>
    <x v="1"/>
    <s v="Non-Recordable"/>
    <s v="Nil (No Injury)"/>
    <x v="3"/>
    <s v="Day"/>
    <n v="0"/>
    <s v="Extreme Heat"/>
    <x v="1"/>
    <s v="David Torres"/>
    <s v="Open"/>
    <s v="Overdue"/>
    <n v="11"/>
    <n v="90242"/>
    <n v="0"/>
    <n v="0"/>
    <n v="0"/>
    <n v="0"/>
    <d v="2024-03-01T00:00:00"/>
    <s v="Broome Logistics Hub|2024-03"/>
  </r>
  <r>
    <s v="INC-0321"/>
    <d v="2022-01-05T00:00:00"/>
    <x v="1"/>
    <n v="1"/>
    <s v="January"/>
    <s v="Q1"/>
    <x v="3"/>
    <s v="Maintenance"/>
    <x v="0"/>
    <s v="Non-Recordable"/>
    <s v="Nil (No Injury)"/>
    <x v="4"/>
    <s v="Day"/>
    <n v="0"/>
    <s v="Clear"/>
    <x v="0"/>
    <s v="Jo Smith"/>
    <s v="Closed"/>
    <s v="Complete"/>
    <n v="9"/>
    <n v="85134"/>
    <n v="0"/>
    <n v="0"/>
    <n v="0"/>
    <n v="0"/>
    <d v="2022-01-01T00:00:00"/>
    <s v="Broome Logistics Hub|2022-01"/>
  </r>
  <r>
    <s v="INC-0322"/>
    <d v="2022-04-16T00:00:00"/>
    <x v="1"/>
    <n v="4"/>
    <s v="April"/>
    <s v="Q2"/>
    <x v="3"/>
    <s v="Logistics"/>
    <x v="6"/>
    <s v="Recordable"/>
    <s v="Foot/Ankle"/>
    <x v="3"/>
    <s v="Day"/>
    <n v="17"/>
    <s v="Clear"/>
    <x v="2"/>
    <s v="David Torres"/>
    <s v="In Progress"/>
    <s v="Pending"/>
    <n v="12"/>
    <n v="84280"/>
    <n v="1"/>
    <n v="0"/>
    <n v="0"/>
    <n v="1"/>
    <d v="2022-04-01T00:00:00"/>
    <s v="Broome Logistics Hub|2022-04"/>
  </r>
  <r>
    <s v="INC-0323"/>
    <d v="2023-12-05T00:00:00"/>
    <x v="0"/>
    <n v="12"/>
    <s v="December"/>
    <s v="Q4"/>
    <x v="2"/>
    <s v="Processing"/>
    <x v="1"/>
    <s v="Non-Recordable"/>
    <s v="Shoulder"/>
    <x v="8"/>
    <s v="Day"/>
    <n v="0"/>
    <s v="Overcast"/>
    <x v="1"/>
    <s v="Jo Smith"/>
    <s v="Closed"/>
    <s v="Complete"/>
    <n v="9"/>
    <n v="67681"/>
    <n v="0"/>
    <n v="0"/>
    <n v="0"/>
    <n v="0"/>
    <d v="2023-12-01T00:00:00"/>
    <s v="Pilbara Crusher Plant|2023-12"/>
  </r>
  <r>
    <s v="INC-0324"/>
    <d v="2024-01-22T00:00:00"/>
    <x v="2"/>
    <n v="1"/>
    <s v="January"/>
    <s v="Q1"/>
    <x v="3"/>
    <s v="Construction"/>
    <x v="0"/>
    <s v="Non-Recordable"/>
    <s v="Nil (No Injury)"/>
    <x v="6"/>
    <s v="Day"/>
    <n v="0"/>
    <s v="Clear"/>
    <x v="0"/>
    <s v="David Torres"/>
    <s v="Closed"/>
    <s v="Pending"/>
    <n v="12"/>
    <n v="46368"/>
    <n v="0"/>
    <n v="0"/>
    <n v="0"/>
    <n v="0"/>
    <d v="2024-01-01T00:00:00"/>
    <s v="Broome Logistics Hub|2024-01"/>
  </r>
  <r>
    <s v="INC-0325"/>
    <d v="2022-02-19T00:00:00"/>
    <x v="1"/>
    <n v="2"/>
    <s v="February"/>
    <s v="Q1"/>
    <x v="0"/>
    <s v="Administration"/>
    <x v="4"/>
    <s v="Non-Recordable"/>
    <s v="Nil (No Injury)"/>
    <x v="1"/>
    <s v="Day"/>
    <n v="0"/>
    <s v="Wind"/>
    <x v="0"/>
    <s v="David Torres"/>
    <s v="Open"/>
    <s v="Overdue"/>
    <n v="8"/>
    <n v="111733"/>
    <n v="0"/>
    <n v="0"/>
    <n v="0"/>
    <n v="0"/>
    <d v="2022-02-01T00:00:00"/>
    <s v="Thunderbird Mine|2022-02"/>
  </r>
  <r>
    <s v="INC-0326"/>
    <d v="2022-09-16T00:00:00"/>
    <x v="1"/>
    <n v="9"/>
    <s v="September"/>
    <s v="Q3"/>
    <x v="1"/>
    <s v="Maintenance"/>
    <x v="6"/>
    <s v="Recordable"/>
    <s v="Hand/Fingers"/>
    <x v="0"/>
    <s v="Night"/>
    <n v="23"/>
    <s v="Wind"/>
    <x v="0"/>
    <s v="Priya Nair"/>
    <s v="Closed"/>
    <s v="Pending"/>
    <n v="12"/>
    <n v="57978"/>
    <n v="1"/>
    <n v="0"/>
    <n v="0"/>
    <n v="1"/>
    <d v="2022-09-01T00:00:00"/>
    <s v="Darwin Port Facility|2022-09"/>
  </r>
  <r>
    <s v="INC-0327"/>
    <d v="2022-04-18T00:00:00"/>
    <x v="1"/>
    <n v="4"/>
    <s v="April"/>
    <s v="Q2"/>
    <x v="3"/>
    <s v="Mining Operations"/>
    <x v="5"/>
    <s v="Non-Recordable"/>
    <s v="Nil (No Injury)"/>
    <x v="0"/>
    <s v="Day"/>
    <n v="0"/>
    <s v="Overcast"/>
    <x v="0"/>
    <s v="David Torres"/>
    <s v="Closed"/>
    <s v="Pending"/>
    <n v="9"/>
    <n v="74471"/>
    <n v="0"/>
    <n v="0"/>
    <n v="0"/>
    <n v="0"/>
    <d v="2022-04-01T00:00:00"/>
    <s v="Broome Logistics Hub|2022-04"/>
  </r>
  <r>
    <s v="INC-0328"/>
    <d v="2024-05-01T00:00:00"/>
    <x v="2"/>
    <n v="5"/>
    <s v="May"/>
    <s v="Q2"/>
    <x v="1"/>
    <s v="Logistics"/>
    <x v="5"/>
    <s v="Non-Recordable"/>
    <s v="Nil (No Injury)"/>
    <x v="2"/>
    <s v="Night"/>
    <n v="0"/>
    <s v="Clear"/>
    <x v="0"/>
    <s v="Priya Nair"/>
    <s v="Open"/>
    <s v="Complete"/>
    <n v="11"/>
    <n v="83332"/>
    <n v="0"/>
    <n v="0"/>
    <n v="0"/>
    <n v="0"/>
    <d v="2024-05-01T00:00:00"/>
    <s v="Darwin Port Facility|2024-05"/>
  </r>
  <r>
    <s v="INC-0329"/>
    <d v="2022-08-29T00:00:00"/>
    <x v="1"/>
    <n v="8"/>
    <s v="August"/>
    <s v="Q3"/>
    <x v="0"/>
    <s v="Administration"/>
    <x v="0"/>
    <s v="Non-Recordable"/>
    <s v="Nil (No Injury)"/>
    <x v="3"/>
    <s v="Day"/>
    <n v="0"/>
    <s v="Overcast"/>
    <x v="1"/>
    <s v="Mark Daniels"/>
    <s v="Closed"/>
    <s v="Pending"/>
    <n v="8"/>
    <n v="53276"/>
    <n v="0"/>
    <n v="0"/>
    <n v="1"/>
    <n v="0"/>
    <d v="2022-08-01T00:00:00"/>
    <s v="Thunderbird Mine|2022-08"/>
  </r>
  <r>
    <s v="INC-0330"/>
    <d v="2023-10-22T00:00:00"/>
    <x v="0"/>
    <n v="10"/>
    <s v="October"/>
    <s v="Q4"/>
    <x v="4"/>
    <s v="Logistics"/>
    <x v="1"/>
    <s v="Non-Recordable"/>
    <s v="Head"/>
    <x v="5"/>
    <s v="Day"/>
    <n v="0"/>
    <s v="Clear"/>
    <x v="0"/>
    <s v="Jo Smith"/>
    <s v="Closed"/>
    <s v="Complete"/>
    <n v="10"/>
    <n v="95836"/>
    <n v="0"/>
    <n v="0"/>
    <n v="0"/>
    <n v="0"/>
    <d v="2023-10-01T00:00:00"/>
    <s v="Katherine Processing Site|2023-10"/>
  </r>
  <r>
    <s v="INC-0331"/>
    <d v="2024-01-27T00:00:00"/>
    <x v="2"/>
    <n v="1"/>
    <s v="January"/>
    <s v="Q1"/>
    <x v="0"/>
    <s v="Mining Operations"/>
    <x v="0"/>
    <s v="Non-Recordable"/>
    <s v="Nil (No Injury)"/>
    <x v="1"/>
    <s v="Day"/>
    <n v="0"/>
    <s v="Wind"/>
    <x v="0"/>
    <s v="Sarah Chen"/>
    <s v="Closed"/>
    <s v="Overdue"/>
    <n v="12"/>
    <n v="75167"/>
    <n v="0"/>
    <n v="0"/>
    <n v="1"/>
    <n v="0"/>
    <d v="2024-01-01T00:00:00"/>
    <s v="Thunderbird Mine|2024-01"/>
  </r>
  <r>
    <s v="INC-0332"/>
    <d v="2022-04-06T00:00:00"/>
    <x v="1"/>
    <n v="4"/>
    <s v="April"/>
    <s v="Q2"/>
    <x v="2"/>
    <s v="Maintenance"/>
    <x v="3"/>
    <s v="Recordable"/>
    <s v="Back/Spine"/>
    <x v="2"/>
    <s v="Night"/>
    <n v="0"/>
    <s v="Rain"/>
    <x v="2"/>
    <s v="David Torres"/>
    <s v="Open"/>
    <s v="Overdue"/>
    <n v="9"/>
    <n v="54818"/>
    <n v="1"/>
    <n v="0"/>
    <n v="0"/>
    <n v="0"/>
    <d v="2022-04-01T00:00:00"/>
    <s v="Pilbara Crusher Plant|2022-04"/>
  </r>
  <r>
    <s v="INC-0333"/>
    <d v="2022-05-16T00:00:00"/>
    <x v="1"/>
    <n v="5"/>
    <s v="May"/>
    <s v="Q2"/>
    <x v="0"/>
    <s v="Maintenance"/>
    <x v="4"/>
    <s v="Non-Recordable"/>
    <s v="Nil (No Injury)"/>
    <x v="3"/>
    <s v="Night"/>
    <n v="0"/>
    <s v="Extreme Heat"/>
    <x v="1"/>
    <s v="Priya Nair"/>
    <s v="Open"/>
    <s v="Complete"/>
    <n v="12"/>
    <n v="89774"/>
    <n v="0"/>
    <n v="0"/>
    <n v="0"/>
    <n v="0"/>
    <d v="2022-05-01T00:00:00"/>
    <s v="Thunderbird Mine|2022-05"/>
  </r>
  <r>
    <s v="INC-0334"/>
    <d v="2024-03-08T00:00:00"/>
    <x v="2"/>
    <n v="3"/>
    <s v="March"/>
    <s v="Q1"/>
    <x v="3"/>
    <s v="Mining Operations"/>
    <x v="3"/>
    <s v="Recordable"/>
    <s v="Foot/Ankle"/>
    <x v="5"/>
    <s v="Night"/>
    <n v="0"/>
    <s v="Clear"/>
    <x v="1"/>
    <s v="David Torres"/>
    <s v="Closed"/>
    <s v="Complete"/>
    <n v="10"/>
    <n v="81187"/>
    <n v="1"/>
    <n v="0"/>
    <n v="0"/>
    <n v="0"/>
    <d v="2024-03-01T00:00:00"/>
    <s v="Broome Logistics Hub|2024-03"/>
  </r>
  <r>
    <s v="INC-0335"/>
    <d v="2022-01-13T00:00:00"/>
    <x v="1"/>
    <n v="1"/>
    <s v="January"/>
    <s v="Q1"/>
    <x v="3"/>
    <s v="Administration"/>
    <x v="4"/>
    <s v="Non-Recordable"/>
    <s v="Nil (No Injury)"/>
    <x v="7"/>
    <s v="Afternoon"/>
    <n v="0"/>
    <s v="Extreme Heat"/>
    <x v="0"/>
    <s v="Sarah Chen"/>
    <s v="In Progress"/>
    <s v="Pending"/>
    <n v="12"/>
    <n v="52483"/>
    <n v="0"/>
    <n v="0"/>
    <n v="0"/>
    <n v="0"/>
    <d v="2022-01-01T00:00:00"/>
    <s v="Broome Logistics Hub|2022-01"/>
  </r>
  <r>
    <s v="INC-0336"/>
    <d v="2023-03-20T00:00:00"/>
    <x v="0"/>
    <n v="3"/>
    <s v="March"/>
    <s v="Q1"/>
    <x v="1"/>
    <s v="Processing"/>
    <x v="4"/>
    <s v="Non-Recordable"/>
    <s v="Nil (No Injury)"/>
    <x v="4"/>
    <s v="Afternoon"/>
    <n v="0"/>
    <s v="Wind"/>
    <x v="1"/>
    <s v="Mark Daniels"/>
    <s v="In Progress"/>
    <s v="Pending"/>
    <n v="8"/>
    <n v="41526"/>
    <n v="0"/>
    <n v="0"/>
    <n v="0"/>
    <n v="0"/>
    <d v="2023-03-01T00:00:00"/>
    <s v="Darwin Port Facility|2023-03"/>
  </r>
  <r>
    <s v="INC-0337"/>
    <d v="2023-10-21T00:00:00"/>
    <x v="0"/>
    <n v="10"/>
    <s v="October"/>
    <s v="Q4"/>
    <x v="3"/>
    <s v="Processing"/>
    <x v="1"/>
    <s v="Non-Recordable"/>
    <s v="Nil (No Injury)"/>
    <x v="6"/>
    <s v="Day"/>
    <n v="0"/>
    <s v="Overcast"/>
    <x v="1"/>
    <s v="Sarah Chen"/>
    <s v="Closed"/>
    <s v="Complete"/>
    <n v="10"/>
    <n v="46599"/>
    <n v="0"/>
    <n v="0"/>
    <n v="0"/>
    <n v="0"/>
    <d v="2023-10-01T00:00:00"/>
    <s v="Broome Logistics Hub|2023-10"/>
  </r>
  <r>
    <s v="INC-0338"/>
    <d v="2023-06-04T00:00:00"/>
    <x v="0"/>
    <n v="6"/>
    <s v="June"/>
    <s v="Q2"/>
    <x v="3"/>
    <s v="Administration"/>
    <x v="1"/>
    <s v="Non-Recordable"/>
    <s v="Knee"/>
    <x v="2"/>
    <s v="Day"/>
    <n v="0"/>
    <s v="Clear"/>
    <x v="1"/>
    <s v="David Torres"/>
    <s v="In Progress"/>
    <s v="Overdue"/>
    <n v="8"/>
    <n v="105333"/>
    <n v="0"/>
    <n v="0"/>
    <n v="0"/>
    <n v="0"/>
    <d v="2023-06-01T00:00:00"/>
    <s v="Broome Logistics Hub|2023-06"/>
  </r>
  <r>
    <s v="INC-0339"/>
    <d v="2023-04-03T00:00:00"/>
    <x v="0"/>
    <n v="4"/>
    <s v="April"/>
    <s v="Q2"/>
    <x v="0"/>
    <s v="Processing"/>
    <x v="3"/>
    <s v="Recordable"/>
    <s v="Hand/Fingers"/>
    <x v="3"/>
    <s v="Night"/>
    <n v="0"/>
    <s v="Rain"/>
    <x v="0"/>
    <s v="Priya Nair"/>
    <s v="In Progress"/>
    <s v="Complete"/>
    <n v="8"/>
    <n v="119194"/>
    <n v="1"/>
    <n v="0"/>
    <n v="0"/>
    <n v="0"/>
    <d v="2023-04-01T00:00:00"/>
    <s v="Thunderbird Mine|2023-04"/>
  </r>
  <r>
    <s v="INC-0340"/>
    <d v="2023-09-26T00:00:00"/>
    <x v="0"/>
    <n v="9"/>
    <s v="September"/>
    <s v="Q3"/>
    <x v="2"/>
    <s v="Construction"/>
    <x v="4"/>
    <s v="Non-Recordable"/>
    <s v="Nil (No Injury)"/>
    <x v="9"/>
    <s v="Day"/>
    <n v="0"/>
    <s v="Wind"/>
    <x v="1"/>
    <s v="Sarah Chen"/>
    <s v="Closed"/>
    <s v="Complete"/>
    <n v="9"/>
    <n v="99566"/>
    <n v="0"/>
    <n v="0"/>
    <n v="0"/>
    <n v="0"/>
    <d v="2023-09-01T00:00:00"/>
    <s v="Pilbara Crusher Plant|2023-09"/>
  </r>
  <r>
    <s v="INC-0341"/>
    <d v="2022-12-06T00:00:00"/>
    <x v="1"/>
    <n v="12"/>
    <s v="December"/>
    <s v="Q4"/>
    <x v="3"/>
    <s v="Construction"/>
    <x v="5"/>
    <s v="Non-Recordable"/>
    <s v="Nil (No Injury)"/>
    <x v="5"/>
    <s v="Afternoon"/>
    <n v="0"/>
    <s v="Wind"/>
    <x v="2"/>
    <s v="David Torres"/>
    <s v="Closed"/>
    <s v="Complete"/>
    <n v="9"/>
    <n v="40287"/>
    <n v="0"/>
    <n v="0"/>
    <n v="0"/>
    <n v="0"/>
    <d v="2022-12-01T00:00:00"/>
    <s v="Broome Logistics Hub|2022-12"/>
  </r>
  <r>
    <s v="INC-0342"/>
    <d v="2022-12-16T00:00:00"/>
    <x v="1"/>
    <n v="12"/>
    <s v="December"/>
    <s v="Q4"/>
    <x v="2"/>
    <s v="Construction"/>
    <x v="3"/>
    <s v="Recordable"/>
    <s v="Nil (No Injury)"/>
    <x v="4"/>
    <s v="Afternoon"/>
    <n v="0"/>
    <s v="Clear"/>
    <x v="0"/>
    <s v="Mark Daniels"/>
    <s v="Open"/>
    <s v="Complete"/>
    <n v="11"/>
    <n v="54019"/>
    <n v="1"/>
    <n v="0"/>
    <n v="0"/>
    <n v="0"/>
    <d v="2022-12-01T00:00:00"/>
    <s v="Pilbara Crusher Plant|2022-12"/>
  </r>
  <r>
    <s v="INC-0343"/>
    <d v="2022-09-18T00:00:00"/>
    <x v="1"/>
    <n v="9"/>
    <s v="September"/>
    <s v="Q3"/>
    <x v="1"/>
    <s v="Maintenance"/>
    <x v="5"/>
    <s v="Non-Recordable"/>
    <s v="Nil (No Injury)"/>
    <x v="3"/>
    <s v="Night"/>
    <n v="0"/>
    <s v="Clear"/>
    <x v="1"/>
    <s v="Mark Daniels"/>
    <s v="Closed"/>
    <s v="Complete"/>
    <n v="11"/>
    <n v="46094"/>
    <n v="0"/>
    <n v="0"/>
    <n v="0"/>
    <n v="0"/>
    <d v="2022-09-01T00:00:00"/>
    <s v="Darwin Port Facility|2022-09"/>
  </r>
  <r>
    <s v="INC-0344"/>
    <d v="2023-10-11T00:00:00"/>
    <x v="0"/>
    <n v="10"/>
    <s v="October"/>
    <s v="Q4"/>
    <x v="3"/>
    <s v="Mining Operations"/>
    <x v="2"/>
    <s v="Non-Recordable"/>
    <s v="Nil (No Injury)"/>
    <x v="5"/>
    <s v="Night"/>
    <n v="0"/>
    <s v="Wind"/>
    <x v="0"/>
    <s v="David Torres"/>
    <s v="Closed"/>
    <s v="Pending"/>
    <n v="8"/>
    <n v="112512"/>
    <n v="0"/>
    <n v="0"/>
    <n v="0"/>
    <n v="0"/>
    <d v="2023-10-01T00:00:00"/>
    <s v="Broome Logistics Hub|2023-10"/>
  </r>
  <r>
    <s v="INC-0345"/>
    <d v="2023-03-20T00:00:00"/>
    <x v="0"/>
    <n v="3"/>
    <s v="March"/>
    <s v="Q1"/>
    <x v="3"/>
    <s v="Processing"/>
    <x v="2"/>
    <s v="Non-Recordable"/>
    <s v="Nil (No Injury)"/>
    <x v="9"/>
    <s v="Day"/>
    <n v="0"/>
    <s v="Wind"/>
    <x v="0"/>
    <s v="Mark Daniels"/>
    <s v="Closed"/>
    <s v="Overdue"/>
    <n v="12"/>
    <n v="119450"/>
    <n v="0"/>
    <n v="0"/>
    <n v="0"/>
    <n v="0"/>
    <d v="2023-03-01T00:00:00"/>
    <s v="Broome Logistics Hub|2023-03"/>
  </r>
  <r>
    <s v="INC-0346"/>
    <d v="2022-11-26T00:00:00"/>
    <x v="1"/>
    <n v="11"/>
    <s v="November"/>
    <s v="Q4"/>
    <x v="4"/>
    <s v="Processing"/>
    <x v="5"/>
    <s v="Non-Recordable"/>
    <s v="Nil (No Injury)"/>
    <x v="7"/>
    <s v="Afternoon"/>
    <n v="0"/>
    <s v="Overcast"/>
    <x v="0"/>
    <s v="Sarah Chen"/>
    <s v="Open"/>
    <s v="Complete"/>
    <n v="10"/>
    <n v="99355"/>
    <n v="0"/>
    <n v="0"/>
    <n v="0"/>
    <n v="0"/>
    <d v="2022-11-01T00:00:00"/>
    <s v="Katherine Processing Site|2022-11"/>
  </r>
  <r>
    <s v="INC-0347"/>
    <d v="2024-04-04T00:00:00"/>
    <x v="2"/>
    <n v="4"/>
    <s v="April"/>
    <s v="Q2"/>
    <x v="1"/>
    <s v="Processing"/>
    <x v="1"/>
    <s v="Non-Recordable"/>
    <s v="Nil (No Injury)"/>
    <x v="9"/>
    <s v="Night"/>
    <n v="0"/>
    <s v="Overcast"/>
    <x v="2"/>
    <s v="Priya Nair"/>
    <s v="Closed"/>
    <s v="Complete"/>
    <n v="9"/>
    <n v="78086"/>
    <n v="0"/>
    <n v="0"/>
    <n v="0"/>
    <n v="0"/>
    <d v="2024-04-01T00:00:00"/>
    <s v="Darwin Port Facility|2024-04"/>
  </r>
  <r>
    <s v="INC-0348"/>
    <d v="2023-12-05T00:00:00"/>
    <x v="0"/>
    <n v="12"/>
    <s v="December"/>
    <s v="Q4"/>
    <x v="1"/>
    <s v="Administration"/>
    <x v="3"/>
    <s v="Recordable"/>
    <s v="Foot/Ankle"/>
    <x v="9"/>
    <s v="Afternoon"/>
    <n v="0"/>
    <s v="Wind"/>
    <x v="2"/>
    <s v="Jo Smith"/>
    <s v="Closed"/>
    <s v="Pending"/>
    <n v="11"/>
    <n v="116389"/>
    <n v="1"/>
    <n v="0"/>
    <n v="0"/>
    <n v="0"/>
    <d v="2023-12-01T00:00:00"/>
    <s v="Darwin Port Facility|2023-12"/>
  </r>
  <r>
    <s v="INC-0349"/>
    <d v="2023-08-08T00:00:00"/>
    <x v="0"/>
    <n v="8"/>
    <s v="August"/>
    <s v="Q3"/>
    <x v="4"/>
    <s v="Administration"/>
    <x v="4"/>
    <s v="Non-Recordable"/>
    <s v="Nil (No Injury)"/>
    <x v="9"/>
    <s v="Night"/>
    <n v="0"/>
    <s v="Overcast"/>
    <x v="1"/>
    <s v="Jo Smith"/>
    <s v="In Progress"/>
    <s v="Complete"/>
    <n v="8"/>
    <n v="89921"/>
    <n v="0"/>
    <n v="0"/>
    <n v="0"/>
    <n v="0"/>
    <d v="2023-08-01T00:00:00"/>
    <s v="Katherine Processing Site|2023-08"/>
  </r>
  <r>
    <s v="INC-0350"/>
    <d v="2022-05-29T00:00:00"/>
    <x v="1"/>
    <n v="5"/>
    <s v="May"/>
    <s v="Q2"/>
    <x v="0"/>
    <s v="Maintenance"/>
    <x v="0"/>
    <s v="Non-Recordable"/>
    <s v="Nil (No Injury)"/>
    <x v="0"/>
    <s v="Day"/>
    <n v="0"/>
    <s v="Clear"/>
    <x v="2"/>
    <s v="Mark Daniels"/>
    <s v="Closed"/>
    <s v="Complete"/>
    <n v="9"/>
    <n v="110932"/>
    <n v="0"/>
    <n v="0"/>
    <n v="0"/>
    <n v="0"/>
    <d v="2022-05-01T00:00:00"/>
    <s v="Thunderbird Mine|2022-05"/>
  </r>
  <r>
    <s v="INC-0351"/>
    <d v="2024-04-13T00:00:00"/>
    <x v="2"/>
    <n v="4"/>
    <s v="April"/>
    <s v="Q2"/>
    <x v="3"/>
    <s v="Administration"/>
    <x v="6"/>
    <s v="Recordable"/>
    <s v="Nil (No Injury)"/>
    <x v="8"/>
    <s v="Afternoon"/>
    <n v="4"/>
    <s v="Wind"/>
    <x v="1"/>
    <s v="Mark Daniels"/>
    <s v="In Progress"/>
    <s v="Complete"/>
    <n v="8"/>
    <n v="90014"/>
    <n v="1"/>
    <n v="0"/>
    <n v="0"/>
    <n v="1"/>
    <d v="2024-04-01T00:00:00"/>
    <s v="Broome Logistics Hub|2024-04"/>
  </r>
  <r>
    <s v="INC-0352"/>
    <d v="2024-03-18T00:00:00"/>
    <x v="2"/>
    <n v="3"/>
    <s v="March"/>
    <s v="Q1"/>
    <x v="2"/>
    <s v="Construction"/>
    <x v="4"/>
    <s v="Non-Recordable"/>
    <s v="Nil (No Injury)"/>
    <x v="1"/>
    <s v="Day"/>
    <n v="0"/>
    <s v="Wind"/>
    <x v="2"/>
    <s v="Mark Daniels"/>
    <s v="In Progress"/>
    <s v="Overdue"/>
    <n v="9"/>
    <n v="88200"/>
    <n v="0"/>
    <n v="0"/>
    <n v="0"/>
    <n v="0"/>
    <d v="2024-03-01T00:00:00"/>
    <s v="Pilbara Crusher Plant|2024-03"/>
  </r>
  <r>
    <s v="INC-0353"/>
    <d v="2024-02-13T00:00:00"/>
    <x v="2"/>
    <n v="2"/>
    <s v="February"/>
    <s v="Q1"/>
    <x v="3"/>
    <s v="Administration"/>
    <x v="5"/>
    <s v="Non-Recordable"/>
    <s v="Nil (No Injury)"/>
    <x v="7"/>
    <s v="Day"/>
    <n v="0"/>
    <s v="Overcast"/>
    <x v="0"/>
    <s v="Sarah Chen"/>
    <s v="Open"/>
    <s v="Complete"/>
    <n v="8"/>
    <n v="64507"/>
    <n v="0"/>
    <n v="0"/>
    <n v="0"/>
    <n v="0"/>
    <d v="2024-02-01T00:00:00"/>
    <s v="Broome Logistics Hub|2024-02"/>
  </r>
  <r>
    <s v="INC-0354"/>
    <d v="2022-06-27T00:00:00"/>
    <x v="1"/>
    <n v="6"/>
    <s v="June"/>
    <s v="Q2"/>
    <x v="3"/>
    <s v="Mining Operations"/>
    <x v="4"/>
    <s v="Non-Recordable"/>
    <s v="Nil (No Injury)"/>
    <x v="2"/>
    <s v="Day"/>
    <n v="0"/>
    <s v="Rain"/>
    <x v="2"/>
    <s v="Priya Nair"/>
    <s v="Closed"/>
    <s v="Complete"/>
    <n v="9"/>
    <n v="116544"/>
    <n v="0"/>
    <n v="0"/>
    <n v="0"/>
    <n v="0"/>
    <d v="2022-06-01T00:00:00"/>
    <s v="Broome Logistics Hub|2022-06"/>
  </r>
  <r>
    <s v="INC-0355"/>
    <d v="2024-05-16T00:00:00"/>
    <x v="2"/>
    <n v="5"/>
    <s v="May"/>
    <s v="Q2"/>
    <x v="0"/>
    <s v="Logistics"/>
    <x v="3"/>
    <s v="Recordable"/>
    <s v="Nil (No Injury)"/>
    <x v="6"/>
    <s v="Day"/>
    <n v="0"/>
    <s v="Clear"/>
    <x v="2"/>
    <s v="Priya Nair"/>
    <s v="Closed"/>
    <s v="Pending"/>
    <n v="10"/>
    <n v="104297"/>
    <n v="1"/>
    <n v="0"/>
    <n v="0"/>
    <n v="0"/>
    <d v="2024-05-01T00:00:00"/>
    <s v="Thunderbird Mine|2024-05"/>
  </r>
  <r>
    <s v="INC-0356"/>
    <d v="2024-03-19T00:00:00"/>
    <x v="2"/>
    <n v="3"/>
    <s v="March"/>
    <s v="Q1"/>
    <x v="3"/>
    <s v="Logistics"/>
    <x v="5"/>
    <s v="Non-Recordable"/>
    <s v="Nil (No Injury)"/>
    <x v="3"/>
    <s v="Afternoon"/>
    <n v="0"/>
    <s v="Clear"/>
    <x v="0"/>
    <s v="Mark Daniels"/>
    <s v="In Progress"/>
    <s v="Complete"/>
    <n v="12"/>
    <n v="60889"/>
    <n v="0"/>
    <n v="0"/>
    <n v="0"/>
    <n v="0"/>
    <d v="2024-03-01T00:00:00"/>
    <s v="Broome Logistics Hub|2024-03"/>
  </r>
  <r>
    <s v="INC-0357"/>
    <d v="2023-03-02T00:00:00"/>
    <x v="0"/>
    <n v="3"/>
    <s v="March"/>
    <s v="Q1"/>
    <x v="3"/>
    <s v="Processing"/>
    <x v="5"/>
    <s v="Non-Recordable"/>
    <s v="Nil (No Injury)"/>
    <x v="3"/>
    <s v="Night"/>
    <n v="0"/>
    <s v="Clear"/>
    <x v="0"/>
    <s v="Sarah Chen"/>
    <s v="Closed"/>
    <s v="Complete"/>
    <n v="10"/>
    <n v="68632"/>
    <n v="0"/>
    <n v="0"/>
    <n v="0"/>
    <n v="0"/>
    <d v="2023-03-01T00:00:00"/>
    <s v="Broome Logistics Hub|2023-03"/>
  </r>
  <r>
    <s v="INC-0358"/>
    <d v="2024-02-10T00:00:00"/>
    <x v="2"/>
    <n v="2"/>
    <s v="February"/>
    <s v="Q1"/>
    <x v="3"/>
    <s v="Processing"/>
    <x v="5"/>
    <s v="Non-Recordable"/>
    <s v="Nil (No Injury)"/>
    <x v="9"/>
    <s v="Afternoon"/>
    <n v="0"/>
    <s v="Clear"/>
    <x v="0"/>
    <s v="Sarah Chen"/>
    <s v="Open"/>
    <s v="Complete"/>
    <n v="12"/>
    <n v="71958"/>
    <n v="0"/>
    <n v="0"/>
    <n v="0"/>
    <n v="0"/>
    <d v="2024-02-01T00:00:00"/>
    <s v="Broome Logistics Hub|2024-02"/>
  </r>
  <r>
    <s v="INC-0359"/>
    <d v="2022-02-10T00:00:00"/>
    <x v="1"/>
    <n v="2"/>
    <s v="February"/>
    <s v="Q1"/>
    <x v="2"/>
    <s v="Processing"/>
    <x v="4"/>
    <s v="Non-Recordable"/>
    <s v="Nil (No Injury)"/>
    <x v="3"/>
    <s v="Night"/>
    <n v="0"/>
    <s v="Clear"/>
    <x v="2"/>
    <s v="Jo Smith"/>
    <s v="In Progress"/>
    <s v="Complete"/>
    <n v="12"/>
    <n v="106680"/>
    <n v="0"/>
    <n v="0"/>
    <n v="0"/>
    <n v="0"/>
    <d v="2022-02-01T00:00:00"/>
    <s v="Pilbara Crusher Plant|2022-02"/>
  </r>
  <r>
    <s v="INC-0360"/>
    <d v="2023-04-02T00:00:00"/>
    <x v="0"/>
    <n v="4"/>
    <s v="April"/>
    <s v="Q2"/>
    <x v="2"/>
    <s v="Administration"/>
    <x v="6"/>
    <s v="Recordable"/>
    <s v="Eye"/>
    <x v="4"/>
    <s v="Afternoon"/>
    <n v="2"/>
    <s v="Clear"/>
    <x v="0"/>
    <s v="Mark Daniels"/>
    <s v="In Progress"/>
    <s v="Pending"/>
    <n v="8"/>
    <n v="48581"/>
    <n v="1"/>
    <n v="0"/>
    <n v="0"/>
    <n v="1"/>
    <d v="2023-04-01T00:00:00"/>
    <s v="Pilbara Crusher Plant|2023-04"/>
  </r>
  <r>
    <s v="INC-0361"/>
    <d v="2023-10-07T00:00:00"/>
    <x v="0"/>
    <n v="10"/>
    <s v="October"/>
    <s v="Q4"/>
    <x v="1"/>
    <s v="Administration"/>
    <x v="2"/>
    <s v="Non-Recordable"/>
    <s v="Nil (No Injury)"/>
    <x v="2"/>
    <s v="Day"/>
    <n v="0"/>
    <s v="Clear"/>
    <x v="1"/>
    <s v="Jo Smith"/>
    <s v="Closed"/>
    <s v="Complete"/>
    <n v="11"/>
    <n v="83478"/>
    <n v="0"/>
    <n v="0"/>
    <n v="0"/>
    <n v="0"/>
    <d v="2023-10-01T00:00:00"/>
    <s v="Darwin Port Facility|2023-10"/>
  </r>
  <r>
    <s v="INC-0362"/>
    <d v="2022-02-08T00:00:00"/>
    <x v="1"/>
    <n v="2"/>
    <s v="February"/>
    <s v="Q1"/>
    <x v="0"/>
    <s v="Mining Operations"/>
    <x v="0"/>
    <s v="Non-Recordable"/>
    <s v="Nil (No Injury)"/>
    <x v="6"/>
    <s v="Night"/>
    <n v="0"/>
    <s v="Extreme Heat"/>
    <x v="0"/>
    <s v="Priya Nair"/>
    <s v="Closed"/>
    <s v="Complete"/>
    <n v="11"/>
    <n v="90860"/>
    <n v="0"/>
    <n v="0"/>
    <n v="0"/>
    <n v="0"/>
    <d v="2022-02-01T00:00:00"/>
    <s v="Thunderbird Mine|2022-02"/>
  </r>
  <r>
    <s v="INC-0363"/>
    <d v="2023-02-19T00:00:00"/>
    <x v="0"/>
    <n v="2"/>
    <s v="February"/>
    <s v="Q1"/>
    <x v="0"/>
    <s v="Processing"/>
    <x v="6"/>
    <s v="Recordable"/>
    <s v="Back/Spine"/>
    <x v="9"/>
    <s v="Day"/>
    <n v="11"/>
    <s v="Wind"/>
    <x v="0"/>
    <s v="Priya Nair"/>
    <s v="Closed"/>
    <s v="Complete"/>
    <n v="10"/>
    <n v="105907"/>
    <n v="1"/>
    <n v="0"/>
    <n v="0"/>
    <n v="1"/>
    <d v="2023-02-01T00:00:00"/>
    <s v="Thunderbird Mine|2023-02"/>
  </r>
  <r>
    <s v="INC-0364"/>
    <d v="2024-03-16T00:00:00"/>
    <x v="2"/>
    <n v="3"/>
    <s v="March"/>
    <s v="Q1"/>
    <x v="2"/>
    <s v="Construction"/>
    <x v="4"/>
    <s v="Non-Recordable"/>
    <s v="Nil (No Injury)"/>
    <x v="3"/>
    <s v="Night"/>
    <n v="0"/>
    <s v="Overcast"/>
    <x v="1"/>
    <s v="David Torres"/>
    <s v="Open"/>
    <s v="Complete"/>
    <n v="11"/>
    <n v="60489"/>
    <n v="0"/>
    <n v="0"/>
    <n v="0"/>
    <n v="0"/>
    <d v="2024-03-01T00:00:00"/>
    <s v="Pilbara Crusher Plant|2024-03"/>
  </r>
  <r>
    <s v="INC-0365"/>
    <d v="2023-07-01T00:00:00"/>
    <x v="0"/>
    <n v="7"/>
    <s v="July"/>
    <s v="Q3"/>
    <x v="1"/>
    <s v="Administration"/>
    <x v="1"/>
    <s v="Non-Recordable"/>
    <s v="Knee"/>
    <x v="9"/>
    <s v="Night"/>
    <n v="0"/>
    <s v="Wind"/>
    <x v="0"/>
    <s v="Sarah Chen"/>
    <s v="Closed"/>
    <s v="Complete"/>
    <n v="12"/>
    <n v="112754"/>
    <n v="0"/>
    <n v="0"/>
    <n v="0"/>
    <n v="0"/>
    <d v="2023-07-01T00:00:00"/>
    <s v="Darwin Port Facility|2023-07"/>
  </r>
  <r>
    <s v="INC-0366"/>
    <d v="2022-05-25T00:00:00"/>
    <x v="1"/>
    <n v="5"/>
    <s v="May"/>
    <s v="Q2"/>
    <x v="0"/>
    <s v="Mining Operations"/>
    <x v="0"/>
    <s v="Non-Recordable"/>
    <s v="Nil (No Injury)"/>
    <x v="7"/>
    <s v="Afternoon"/>
    <n v="0"/>
    <s v="Rain"/>
    <x v="0"/>
    <s v="Sarah Chen"/>
    <s v="Closed"/>
    <s v="Complete"/>
    <n v="9"/>
    <n v="94087"/>
    <n v="0"/>
    <n v="0"/>
    <n v="1"/>
    <n v="0"/>
    <d v="2022-05-01T00:00:00"/>
    <s v="Thunderbird Mine|2022-05"/>
  </r>
  <r>
    <s v="INC-0367"/>
    <d v="2024-05-21T00:00:00"/>
    <x v="2"/>
    <n v="5"/>
    <s v="May"/>
    <s v="Q2"/>
    <x v="1"/>
    <s v="Maintenance"/>
    <x v="5"/>
    <s v="Non-Recordable"/>
    <s v="Nil (No Injury)"/>
    <x v="6"/>
    <s v="Day"/>
    <n v="0"/>
    <s v="Extreme Heat"/>
    <x v="2"/>
    <s v="Mark Daniels"/>
    <s v="Closed"/>
    <s v="Complete"/>
    <n v="12"/>
    <n v="47128"/>
    <n v="0"/>
    <n v="0"/>
    <n v="0"/>
    <n v="0"/>
    <d v="2024-05-01T00:00:00"/>
    <s v="Darwin Port Facility|2024-05"/>
  </r>
  <r>
    <s v="INC-0368"/>
    <d v="2024-05-21T00:00:00"/>
    <x v="2"/>
    <n v="5"/>
    <s v="May"/>
    <s v="Q2"/>
    <x v="3"/>
    <s v="Processing"/>
    <x v="2"/>
    <s v="Non-Recordable"/>
    <s v="Nil (No Injury)"/>
    <x v="9"/>
    <s v="Day"/>
    <n v="0"/>
    <s v="Clear"/>
    <x v="0"/>
    <s v="Sarah Chen"/>
    <s v="Closed"/>
    <s v="Complete"/>
    <n v="12"/>
    <n v="103857"/>
    <n v="0"/>
    <n v="0"/>
    <n v="0"/>
    <n v="0"/>
    <d v="2024-05-01T00:00:00"/>
    <s v="Broome Logistics Hub|2024-05"/>
  </r>
  <r>
    <s v="INC-0369"/>
    <d v="2022-12-05T00:00:00"/>
    <x v="1"/>
    <n v="12"/>
    <s v="December"/>
    <s v="Q4"/>
    <x v="1"/>
    <s v="Administration"/>
    <x v="3"/>
    <s v="Recordable"/>
    <s v="Eye"/>
    <x v="3"/>
    <s v="Night"/>
    <n v="0"/>
    <s v="Extreme Heat"/>
    <x v="0"/>
    <s v="Mark Daniels"/>
    <s v="Closed"/>
    <s v="Overdue"/>
    <n v="11"/>
    <n v="83036"/>
    <n v="1"/>
    <n v="0"/>
    <n v="0"/>
    <n v="0"/>
    <d v="2022-12-01T00:00:00"/>
    <s v="Darwin Port Facility|2022-12"/>
  </r>
  <r>
    <s v="INC-0370"/>
    <d v="2023-09-24T00:00:00"/>
    <x v="0"/>
    <n v="9"/>
    <s v="September"/>
    <s v="Q3"/>
    <x v="2"/>
    <s v="Administration"/>
    <x v="4"/>
    <s v="Non-Recordable"/>
    <s v="Nil (No Injury)"/>
    <x v="7"/>
    <s v="Day"/>
    <n v="0"/>
    <s v="Extreme Heat"/>
    <x v="2"/>
    <s v="Sarah Chen"/>
    <s v="Open"/>
    <s v="Complete"/>
    <n v="8"/>
    <n v="81053"/>
    <n v="0"/>
    <n v="0"/>
    <n v="0"/>
    <n v="0"/>
    <d v="2023-09-01T00:00:00"/>
    <s v="Pilbara Crusher Plant|2023-09"/>
  </r>
  <r>
    <s v="INC-0371"/>
    <d v="2022-09-10T00:00:00"/>
    <x v="1"/>
    <n v="9"/>
    <s v="September"/>
    <s v="Q3"/>
    <x v="1"/>
    <s v="Administration"/>
    <x v="2"/>
    <s v="Non-Recordable"/>
    <s v="Nil (No Injury)"/>
    <x v="2"/>
    <s v="Night"/>
    <n v="0"/>
    <s v="Overcast"/>
    <x v="2"/>
    <s v="Mark Daniels"/>
    <s v="Closed"/>
    <s v="Overdue"/>
    <n v="11"/>
    <n v="98373"/>
    <n v="0"/>
    <n v="0"/>
    <n v="0"/>
    <n v="0"/>
    <d v="2022-09-01T00:00:00"/>
    <s v="Darwin Port Facility|2022-09"/>
  </r>
  <r>
    <s v="INC-0372"/>
    <d v="2023-01-03T00:00:00"/>
    <x v="0"/>
    <n v="1"/>
    <s v="January"/>
    <s v="Q1"/>
    <x v="2"/>
    <s v="Processing"/>
    <x v="2"/>
    <s v="Non-Recordable"/>
    <s v="Nil (No Injury)"/>
    <x v="9"/>
    <s v="Day"/>
    <n v="0"/>
    <s v="Clear"/>
    <x v="0"/>
    <s v="Sarah Chen"/>
    <s v="Closed"/>
    <s v="Pending"/>
    <n v="9"/>
    <n v="74502"/>
    <n v="0"/>
    <n v="0"/>
    <n v="0"/>
    <n v="0"/>
    <d v="2023-01-01T00:00:00"/>
    <s v="Pilbara Crusher Plant|2023-01"/>
  </r>
  <r>
    <s v="INC-0373"/>
    <d v="2024-01-22T00:00:00"/>
    <x v="2"/>
    <n v="1"/>
    <s v="January"/>
    <s v="Q1"/>
    <x v="0"/>
    <s v="Administration"/>
    <x v="4"/>
    <s v="Non-Recordable"/>
    <s v="Nil (No Injury)"/>
    <x v="3"/>
    <s v="Day"/>
    <n v="0"/>
    <s v="Overcast"/>
    <x v="0"/>
    <s v="Priya Nair"/>
    <s v="In Progress"/>
    <s v="Overdue"/>
    <n v="12"/>
    <n v="67886"/>
    <n v="0"/>
    <n v="0"/>
    <n v="0"/>
    <n v="0"/>
    <d v="2024-01-01T00:00:00"/>
    <s v="Thunderbird Mine|2024-01"/>
  </r>
  <r>
    <s v="INC-0374"/>
    <d v="2022-02-07T00:00:00"/>
    <x v="1"/>
    <n v="2"/>
    <s v="February"/>
    <s v="Q1"/>
    <x v="2"/>
    <s v="Construction"/>
    <x v="5"/>
    <s v="Non-Recordable"/>
    <s v="Nil (No Injury)"/>
    <x v="9"/>
    <s v="Night"/>
    <n v="0"/>
    <s v="Wind"/>
    <x v="0"/>
    <s v="Sarah Chen"/>
    <s v="Open"/>
    <s v="Complete"/>
    <n v="12"/>
    <n v="78141"/>
    <n v="0"/>
    <n v="0"/>
    <n v="0"/>
    <n v="0"/>
    <d v="2022-02-01T00:00:00"/>
    <s v="Pilbara Crusher Plant|2022-02"/>
  </r>
  <r>
    <s v="INC-0375"/>
    <d v="2022-05-18T00:00:00"/>
    <x v="1"/>
    <n v="5"/>
    <s v="May"/>
    <s v="Q2"/>
    <x v="3"/>
    <s v="Mining Operations"/>
    <x v="6"/>
    <s v="Recordable"/>
    <s v="Knee"/>
    <x v="4"/>
    <s v="Afternoon"/>
    <n v="17"/>
    <s v="Clear"/>
    <x v="0"/>
    <s v="Priya Nair"/>
    <s v="Closed"/>
    <s v="Pending"/>
    <n v="9"/>
    <n v="98487"/>
    <n v="1"/>
    <n v="0"/>
    <n v="0"/>
    <n v="1"/>
    <d v="2022-05-01T00:00:00"/>
    <s v="Broome Logistics Hub|2022-05"/>
  </r>
  <r>
    <s v="INC-0376"/>
    <d v="2023-08-03T00:00:00"/>
    <x v="0"/>
    <n v="8"/>
    <s v="August"/>
    <s v="Q3"/>
    <x v="1"/>
    <s v="Administration"/>
    <x v="5"/>
    <s v="Non-Recordable"/>
    <s v="Nil (No Injury)"/>
    <x v="5"/>
    <s v="Night"/>
    <n v="0"/>
    <s v="Clear"/>
    <x v="0"/>
    <s v="David Torres"/>
    <s v="Closed"/>
    <s v="Complete"/>
    <n v="10"/>
    <n v="88422"/>
    <n v="0"/>
    <n v="0"/>
    <n v="0"/>
    <n v="0"/>
    <d v="2023-08-01T00:00:00"/>
    <s v="Darwin Port Facility|2023-08"/>
  </r>
  <r>
    <s v="INC-0377"/>
    <d v="2022-08-28T00:00:00"/>
    <x v="1"/>
    <n v="8"/>
    <s v="August"/>
    <s v="Q3"/>
    <x v="1"/>
    <s v="Construction"/>
    <x v="0"/>
    <s v="Non-Recordable"/>
    <s v="Nil (No Injury)"/>
    <x v="4"/>
    <s v="Night"/>
    <n v="0"/>
    <s v="Rain"/>
    <x v="1"/>
    <s v="Jo Smith"/>
    <s v="Closed"/>
    <s v="Complete"/>
    <n v="8"/>
    <n v="108337"/>
    <n v="0"/>
    <n v="0"/>
    <n v="0"/>
    <n v="0"/>
    <d v="2022-08-01T00:00:00"/>
    <s v="Darwin Port Facility|2022-08"/>
  </r>
  <r>
    <s v="INC-0378"/>
    <d v="2022-10-08T00:00:00"/>
    <x v="1"/>
    <n v="10"/>
    <s v="October"/>
    <s v="Q4"/>
    <x v="2"/>
    <s v="Construction"/>
    <x v="2"/>
    <s v="Non-Recordable"/>
    <s v="Nil (No Injury)"/>
    <x v="9"/>
    <s v="Afternoon"/>
    <n v="0"/>
    <s v="Clear"/>
    <x v="1"/>
    <s v="David Torres"/>
    <s v="Closed"/>
    <s v="Pending"/>
    <n v="8"/>
    <n v="107720"/>
    <n v="0"/>
    <n v="0"/>
    <n v="0"/>
    <n v="0"/>
    <d v="2022-10-01T00:00:00"/>
    <s v="Pilbara Crusher Plant|2022-10"/>
  </r>
  <r>
    <s v="INC-0379"/>
    <d v="2022-09-15T00:00:00"/>
    <x v="1"/>
    <n v="9"/>
    <s v="September"/>
    <s v="Q3"/>
    <x v="1"/>
    <s v="Construction"/>
    <x v="6"/>
    <s v="Recordable"/>
    <s v="Knee"/>
    <x v="4"/>
    <s v="Night"/>
    <n v="30"/>
    <s v="Rain"/>
    <x v="1"/>
    <s v="Priya Nair"/>
    <s v="Closed"/>
    <s v="Pending"/>
    <n v="9"/>
    <n v="97658"/>
    <n v="1"/>
    <n v="0"/>
    <n v="0"/>
    <n v="1"/>
    <d v="2022-09-01T00:00:00"/>
    <s v="Darwin Port Facility|2022-09"/>
  </r>
  <r>
    <s v="INC-0380"/>
    <d v="2022-03-20T00:00:00"/>
    <x v="1"/>
    <n v="3"/>
    <s v="March"/>
    <s v="Q1"/>
    <x v="2"/>
    <s v="Maintenance"/>
    <x v="5"/>
    <s v="Non-Recordable"/>
    <s v="Nil (No Injury)"/>
    <x v="6"/>
    <s v="Day"/>
    <n v="0"/>
    <s v="Clear"/>
    <x v="2"/>
    <s v="Priya Nair"/>
    <s v="Closed"/>
    <s v="Complete"/>
    <n v="11"/>
    <n v="83283"/>
    <n v="0"/>
    <n v="0"/>
    <n v="0"/>
    <n v="0"/>
    <d v="2022-03-01T00:00:00"/>
    <s v="Pilbara Crusher Plant|2022-03"/>
  </r>
  <r>
    <s v="INC-0381"/>
    <d v="2024-01-08T00:00:00"/>
    <x v="2"/>
    <n v="1"/>
    <s v="January"/>
    <s v="Q1"/>
    <x v="4"/>
    <s v="Administration"/>
    <x v="0"/>
    <s v="Non-Recordable"/>
    <s v="Nil (No Injury)"/>
    <x v="5"/>
    <s v="Night"/>
    <n v="0"/>
    <s v="Clear"/>
    <x v="0"/>
    <s v="David Torres"/>
    <s v="Closed"/>
    <s v="Complete"/>
    <n v="8"/>
    <n v="56762"/>
    <n v="0"/>
    <n v="0"/>
    <n v="0"/>
    <n v="0"/>
    <d v="2024-01-01T00:00:00"/>
    <s v="Katherine Processing Site|2024-01"/>
  </r>
  <r>
    <s v="INC-0382"/>
    <d v="2022-06-14T00:00:00"/>
    <x v="1"/>
    <n v="6"/>
    <s v="June"/>
    <s v="Q2"/>
    <x v="3"/>
    <s v="Mining Operations"/>
    <x v="1"/>
    <s v="Non-Recordable"/>
    <s v="Nil (No Injury)"/>
    <x v="6"/>
    <s v="Day"/>
    <n v="0"/>
    <s v="Clear"/>
    <x v="2"/>
    <s v="Mark Daniels"/>
    <s v="In Progress"/>
    <s v="Overdue"/>
    <n v="12"/>
    <n v="113872"/>
    <n v="0"/>
    <n v="0"/>
    <n v="0"/>
    <n v="0"/>
    <d v="2022-06-01T00:00:00"/>
    <s v="Broome Logistics Hub|2022-06"/>
  </r>
  <r>
    <s v="INC-0383"/>
    <d v="2023-10-15T00:00:00"/>
    <x v="0"/>
    <n v="10"/>
    <s v="October"/>
    <s v="Q4"/>
    <x v="2"/>
    <s v="Mining Operations"/>
    <x v="0"/>
    <s v="Non-Recordable"/>
    <s v="Nil (No Injury)"/>
    <x v="8"/>
    <s v="Night"/>
    <n v="0"/>
    <s v="Extreme Heat"/>
    <x v="1"/>
    <s v="David Torres"/>
    <s v="Closed"/>
    <s v="Complete"/>
    <n v="11"/>
    <n v="118753"/>
    <n v="0"/>
    <n v="0"/>
    <n v="0"/>
    <n v="0"/>
    <d v="2023-10-01T00:00:00"/>
    <s v="Pilbara Crusher Plant|2023-10"/>
  </r>
  <r>
    <s v="INC-0384"/>
    <d v="2023-08-20T00:00:00"/>
    <x v="0"/>
    <n v="8"/>
    <s v="August"/>
    <s v="Q3"/>
    <x v="1"/>
    <s v="Construction"/>
    <x v="2"/>
    <s v="Non-Recordable"/>
    <s v="Nil (No Injury)"/>
    <x v="9"/>
    <s v="Night"/>
    <n v="0"/>
    <s v="Clear"/>
    <x v="2"/>
    <s v="David Torres"/>
    <s v="In Progress"/>
    <s v="Pending"/>
    <n v="8"/>
    <n v="70122"/>
    <n v="0"/>
    <n v="0"/>
    <n v="0"/>
    <n v="0"/>
    <d v="2023-08-01T00:00:00"/>
    <s v="Darwin Port Facility|2023-08"/>
  </r>
  <r>
    <s v="INC-0385"/>
    <d v="2023-01-23T00:00:00"/>
    <x v="0"/>
    <n v="1"/>
    <s v="January"/>
    <s v="Q1"/>
    <x v="0"/>
    <s v="Mining Operations"/>
    <x v="6"/>
    <s v="Recordable"/>
    <s v="Eye"/>
    <x v="9"/>
    <s v="Afternoon"/>
    <n v="5"/>
    <s v="Wind"/>
    <x v="1"/>
    <s v="Mark Daniels"/>
    <s v="In Progress"/>
    <s v="Complete"/>
    <n v="9"/>
    <n v="102373"/>
    <n v="1"/>
    <n v="0"/>
    <n v="1"/>
    <n v="1"/>
    <d v="2023-01-01T00:00:00"/>
    <s v="Thunderbird Mine|2023-01"/>
  </r>
  <r>
    <s v="INC-0386"/>
    <d v="2023-09-07T00:00:00"/>
    <x v="0"/>
    <n v="9"/>
    <s v="September"/>
    <s v="Q3"/>
    <x v="3"/>
    <s v="Construction"/>
    <x v="0"/>
    <s v="Non-Recordable"/>
    <s v="Nil (No Injury)"/>
    <x v="3"/>
    <s v="Day"/>
    <n v="0"/>
    <s v="Rain"/>
    <x v="0"/>
    <s v="Priya Nair"/>
    <s v="In Progress"/>
    <s v="Complete"/>
    <n v="11"/>
    <n v="108425"/>
    <n v="0"/>
    <n v="0"/>
    <n v="0"/>
    <n v="0"/>
    <d v="2023-09-01T00:00:00"/>
    <s v="Broome Logistics Hub|2023-09"/>
  </r>
  <r>
    <s v="INC-0387"/>
    <d v="2024-06-14T00:00:00"/>
    <x v="2"/>
    <n v="6"/>
    <s v="June"/>
    <s v="Q2"/>
    <x v="3"/>
    <s v="Processing"/>
    <x v="0"/>
    <s v="Non-Recordable"/>
    <s v="Nil (No Injury)"/>
    <x v="8"/>
    <s v="Night"/>
    <n v="0"/>
    <s v="Overcast"/>
    <x v="1"/>
    <s v="Sarah Chen"/>
    <s v="In Progress"/>
    <s v="Pending"/>
    <n v="8"/>
    <n v="95769"/>
    <n v="0"/>
    <n v="0"/>
    <n v="0"/>
    <n v="0"/>
    <d v="2024-06-01T00:00:00"/>
    <s v="Broome Logistics Hub|2024-06"/>
  </r>
  <r>
    <s v="INC-0388"/>
    <d v="2023-05-04T00:00:00"/>
    <x v="0"/>
    <n v="5"/>
    <s v="May"/>
    <s v="Q2"/>
    <x v="1"/>
    <s v="Mining Operations"/>
    <x v="2"/>
    <s v="Non-Recordable"/>
    <s v="Nil (No Injury)"/>
    <x v="0"/>
    <s v="Afternoon"/>
    <n v="0"/>
    <s v="Extreme Heat"/>
    <x v="1"/>
    <s v="Sarah Chen"/>
    <s v="Closed"/>
    <s v="Complete"/>
    <n v="8"/>
    <n v="115757"/>
    <n v="0"/>
    <n v="0"/>
    <n v="0"/>
    <n v="0"/>
    <d v="2023-05-01T00:00:00"/>
    <s v="Darwin Port Facility|2023-05"/>
  </r>
  <r>
    <s v="INC-0389"/>
    <d v="2023-06-20T00:00:00"/>
    <x v="0"/>
    <n v="6"/>
    <s v="June"/>
    <s v="Q2"/>
    <x v="3"/>
    <s v="Mining Operations"/>
    <x v="0"/>
    <s v="Non-Recordable"/>
    <s v="Nil (No Injury)"/>
    <x v="2"/>
    <s v="Afternoon"/>
    <n v="0"/>
    <s v="Clear"/>
    <x v="2"/>
    <s v="David Torres"/>
    <s v="Closed"/>
    <s v="Complete"/>
    <n v="9"/>
    <n v="95846"/>
    <n v="0"/>
    <n v="0"/>
    <n v="0"/>
    <n v="0"/>
    <d v="2023-06-01T00:00:00"/>
    <s v="Broome Logistics Hub|2023-06"/>
  </r>
  <r>
    <s v="INC-0390"/>
    <d v="2022-09-17T00:00:00"/>
    <x v="1"/>
    <n v="9"/>
    <s v="September"/>
    <s v="Q3"/>
    <x v="3"/>
    <s v="Processing"/>
    <x v="3"/>
    <s v="Recordable"/>
    <s v="Nil (No Injury)"/>
    <x v="4"/>
    <s v="Afternoon"/>
    <n v="0"/>
    <s v="Clear"/>
    <x v="1"/>
    <s v="Mark Daniels"/>
    <s v="Open"/>
    <s v="Pending"/>
    <n v="12"/>
    <n v="103238"/>
    <n v="1"/>
    <n v="0"/>
    <n v="0"/>
    <n v="0"/>
    <d v="2022-09-01T00:00:00"/>
    <s v="Broome Logistics Hub|2022-09"/>
  </r>
  <r>
    <s v="INC-0391"/>
    <d v="2022-07-03T00:00:00"/>
    <x v="1"/>
    <n v="7"/>
    <s v="July"/>
    <s v="Q3"/>
    <x v="3"/>
    <s v="Construction"/>
    <x v="3"/>
    <s v="Recordable"/>
    <s v="Nil (No Injury)"/>
    <x v="0"/>
    <s v="Night"/>
    <n v="0"/>
    <s v="Extreme Heat"/>
    <x v="2"/>
    <s v="David Torres"/>
    <s v="Closed"/>
    <s v="Complete"/>
    <n v="9"/>
    <n v="98536"/>
    <n v="1"/>
    <n v="0"/>
    <n v="0"/>
    <n v="0"/>
    <d v="2022-07-01T00:00:00"/>
    <s v="Broome Logistics Hub|2022-07"/>
  </r>
  <r>
    <s v="INC-0392"/>
    <d v="2024-03-12T00:00:00"/>
    <x v="2"/>
    <n v="3"/>
    <s v="March"/>
    <s v="Q1"/>
    <x v="1"/>
    <s v="Mining Operations"/>
    <x v="4"/>
    <s v="Non-Recordable"/>
    <s v="Nil (No Injury)"/>
    <x v="8"/>
    <s v="Afternoon"/>
    <n v="0"/>
    <s v="Rain"/>
    <x v="2"/>
    <s v="Priya Nair"/>
    <s v="In Progress"/>
    <s v="Complete"/>
    <n v="9"/>
    <n v="91000"/>
    <n v="0"/>
    <n v="0"/>
    <n v="0"/>
    <n v="0"/>
    <d v="2024-03-01T00:00:00"/>
    <s v="Darwin Port Facility|2024-03"/>
  </r>
  <r>
    <s v="INC-0393"/>
    <d v="2023-10-14T00:00:00"/>
    <x v="0"/>
    <n v="10"/>
    <s v="October"/>
    <s v="Q4"/>
    <x v="0"/>
    <s v="Maintenance"/>
    <x v="0"/>
    <s v="Non-Recordable"/>
    <s v="Nil (No Injury)"/>
    <x v="5"/>
    <s v="Afternoon"/>
    <n v="0"/>
    <s v="Rain"/>
    <x v="0"/>
    <s v="Jo Smith"/>
    <s v="Closed"/>
    <s v="Complete"/>
    <n v="10"/>
    <n v="50490"/>
    <n v="0"/>
    <n v="0"/>
    <n v="0"/>
    <n v="0"/>
    <d v="2023-10-01T00:00:00"/>
    <s v="Thunderbird Mine|2023-10"/>
  </r>
  <r>
    <s v="INC-0394"/>
    <d v="2024-01-12T00:00:00"/>
    <x v="2"/>
    <n v="1"/>
    <s v="January"/>
    <s v="Q1"/>
    <x v="4"/>
    <s v="Construction"/>
    <x v="6"/>
    <s v="Recordable"/>
    <s v="Nil (No Injury)"/>
    <x v="0"/>
    <s v="Afternoon"/>
    <n v="30"/>
    <s v="Extreme Heat"/>
    <x v="0"/>
    <s v="Mark Daniels"/>
    <s v="Open"/>
    <s v="Overdue"/>
    <n v="8"/>
    <n v="66438"/>
    <n v="1"/>
    <n v="0"/>
    <n v="1"/>
    <n v="1"/>
    <d v="2024-01-01T00:00:00"/>
    <s v="Katherine Processing Site|2024-01"/>
  </r>
  <r>
    <s v="INC-0395"/>
    <d v="2024-04-03T00:00:00"/>
    <x v="2"/>
    <n v="4"/>
    <s v="April"/>
    <s v="Q2"/>
    <x v="2"/>
    <s v="Maintenance"/>
    <x v="5"/>
    <s v="Non-Recordable"/>
    <s v="Nil (No Injury)"/>
    <x v="1"/>
    <s v="Afternoon"/>
    <n v="0"/>
    <s v="Extreme Heat"/>
    <x v="0"/>
    <s v="Priya Nair"/>
    <s v="Closed"/>
    <s v="Complete"/>
    <n v="10"/>
    <n v="71359"/>
    <n v="0"/>
    <n v="0"/>
    <n v="0"/>
    <n v="0"/>
    <d v="2024-04-01T00:00:00"/>
    <s v="Pilbara Crusher Plant|2024-04"/>
  </r>
  <r>
    <s v="INC-0396"/>
    <d v="2023-11-02T00:00:00"/>
    <x v="0"/>
    <n v="11"/>
    <s v="November"/>
    <s v="Q4"/>
    <x v="1"/>
    <s v="Mining Operations"/>
    <x v="0"/>
    <s v="Non-Recordable"/>
    <s v="Nil (No Injury)"/>
    <x v="0"/>
    <s v="Night"/>
    <n v="0"/>
    <s v="Clear"/>
    <x v="1"/>
    <s v="David Torres"/>
    <s v="In Progress"/>
    <s v="Complete"/>
    <n v="12"/>
    <n v="42014"/>
    <n v="0"/>
    <n v="0"/>
    <n v="1"/>
    <n v="0"/>
    <d v="2023-11-01T00:00:00"/>
    <s v="Darwin Port Facility|2023-11"/>
  </r>
  <r>
    <s v="INC-0397"/>
    <d v="2022-03-12T00:00:00"/>
    <x v="1"/>
    <n v="3"/>
    <s v="March"/>
    <s v="Q1"/>
    <x v="3"/>
    <s v="Logistics"/>
    <x v="0"/>
    <s v="Non-Recordable"/>
    <s v="Nil (No Injury)"/>
    <x v="9"/>
    <s v="Afternoon"/>
    <n v="0"/>
    <s v="Clear"/>
    <x v="2"/>
    <s v="Sarah Chen"/>
    <s v="Closed"/>
    <s v="Pending"/>
    <n v="9"/>
    <n v="99606"/>
    <n v="0"/>
    <n v="0"/>
    <n v="1"/>
    <n v="0"/>
    <d v="2022-03-01T00:00:00"/>
    <s v="Broome Logistics Hub|2022-03"/>
  </r>
  <r>
    <s v="INC-0398"/>
    <d v="2023-08-12T00:00:00"/>
    <x v="0"/>
    <n v="8"/>
    <s v="August"/>
    <s v="Q3"/>
    <x v="2"/>
    <s v="Maintenance"/>
    <x v="0"/>
    <s v="Non-Recordable"/>
    <s v="Nil (No Injury)"/>
    <x v="2"/>
    <s v="Afternoon"/>
    <n v="0"/>
    <s v="Clear"/>
    <x v="0"/>
    <s v="Priya Nair"/>
    <s v="Closed"/>
    <s v="Complete"/>
    <n v="8"/>
    <n v="107277"/>
    <n v="0"/>
    <n v="0"/>
    <n v="1"/>
    <n v="0"/>
    <d v="2023-08-01T00:00:00"/>
    <s v="Pilbara Crusher Plant|2023-08"/>
  </r>
  <r>
    <s v="INC-0399"/>
    <d v="2024-06-16T00:00:00"/>
    <x v="2"/>
    <n v="6"/>
    <s v="June"/>
    <s v="Q2"/>
    <x v="3"/>
    <s v="Logistics"/>
    <x v="5"/>
    <s v="Non-Recordable"/>
    <s v="Nil (No Injury)"/>
    <x v="5"/>
    <s v="Night"/>
    <n v="0"/>
    <s v="Extreme Heat"/>
    <x v="1"/>
    <s v="Mark Daniels"/>
    <s v="Closed"/>
    <s v="Overdue"/>
    <n v="11"/>
    <n v="116916"/>
    <n v="0"/>
    <n v="0"/>
    <n v="0"/>
    <n v="0"/>
    <d v="2024-06-01T00:00:00"/>
    <s v="Broome Logistics Hub|2024-06"/>
  </r>
  <r>
    <s v="INC-0400"/>
    <d v="2024-06-01T00:00:00"/>
    <x v="2"/>
    <n v="6"/>
    <s v="June"/>
    <s v="Q2"/>
    <x v="4"/>
    <s v="Mining Operations"/>
    <x v="0"/>
    <s v="Non-Recordable"/>
    <s v="Nil (No Injury)"/>
    <x v="0"/>
    <s v="Day"/>
    <n v="0"/>
    <s v="Rain"/>
    <x v="0"/>
    <s v="Mark Daniels"/>
    <s v="Closed"/>
    <s v="Overdue"/>
    <n v="10"/>
    <n v="107699"/>
    <n v="0"/>
    <n v="0"/>
    <n v="0"/>
    <n v="0"/>
    <d v="2024-06-01T00:00:00"/>
    <s v="Katherine Processing Site|2024-06"/>
  </r>
  <r>
    <s v="INC-0401"/>
    <d v="2023-12-19T00:00:00"/>
    <x v="0"/>
    <n v="12"/>
    <s v="December"/>
    <s v="Q4"/>
    <x v="2"/>
    <s v="Maintenance"/>
    <x v="2"/>
    <s v="Non-Recordable"/>
    <s v="Nil (No Injury)"/>
    <x v="0"/>
    <s v="Day"/>
    <n v="0"/>
    <s v="Rain"/>
    <x v="2"/>
    <s v="Jo Smith"/>
    <s v="In Progress"/>
    <s v="Complete"/>
    <n v="11"/>
    <n v="81139"/>
    <n v="0"/>
    <n v="0"/>
    <n v="0"/>
    <n v="0"/>
    <d v="2023-12-01T00:00:00"/>
    <s v="Pilbara Crusher Plant|2023-12"/>
  </r>
  <r>
    <s v="INC-0402"/>
    <d v="2022-12-29T00:00:00"/>
    <x v="1"/>
    <n v="12"/>
    <s v="December"/>
    <s v="Q4"/>
    <x v="3"/>
    <s v="Logistics"/>
    <x v="1"/>
    <s v="Non-Recordable"/>
    <s v="Foot/Ankle"/>
    <x v="8"/>
    <s v="Night"/>
    <n v="0"/>
    <s v="Wind"/>
    <x v="0"/>
    <s v="Mark Daniels"/>
    <s v="Closed"/>
    <s v="Complete"/>
    <n v="9"/>
    <n v="70042"/>
    <n v="0"/>
    <n v="0"/>
    <n v="0"/>
    <n v="0"/>
    <d v="2022-12-01T00:00:00"/>
    <s v="Broome Logistics Hub|2022-12"/>
  </r>
  <r>
    <s v="INC-0403"/>
    <d v="2022-07-27T00:00:00"/>
    <x v="1"/>
    <n v="7"/>
    <s v="July"/>
    <s v="Q3"/>
    <x v="1"/>
    <s v="Construction"/>
    <x v="2"/>
    <s v="Non-Recordable"/>
    <s v="Nil (No Injury)"/>
    <x v="4"/>
    <s v="Day"/>
    <n v="0"/>
    <s v="Overcast"/>
    <x v="0"/>
    <s v="Jo Smith"/>
    <s v="Closed"/>
    <s v="Overdue"/>
    <n v="12"/>
    <n v="40868"/>
    <n v="0"/>
    <n v="0"/>
    <n v="0"/>
    <n v="0"/>
    <d v="2022-07-01T00:00:00"/>
    <s v="Darwin Port Facility|2022-07"/>
  </r>
  <r>
    <s v="INC-0404"/>
    <d v="2024-02-22T00:00:00"/>
    <x v="2"/>
    <n v="2"/>
    <s v="February"/>
    <s v="Q1"/>
    <x v="3"/>
    <s v="Mining Operations"/>
    <x v="2"/>
    <s v="Non-Recordable"/>
    <s v="Nil (No Injury)"/>
    <x v="5"/>
    <s v="Night"/>
    <n v="0"/>
    <s v="Extreme Heat"/>
    <x v="2"/>
    <s v="David Torres"/>
    <s v="In Progress"/>
    <s v="Complete"/>
    <n v="11"/>
    <n v="63969"/>
    <n v="0"/>
    <n v="0"/>
    <n v="0"/>
    <n v="0"/>
    <d v="2024-02-01T00:00:00"/>
    <s v="Broome Logistics Hub|2024-02"/>
  </r>
  <r>
    <s v="INC-0405"/>
    <d v="2024-02-22T00:00:00"/>
    <x v="2"/>
    <n v="2"/>
    <s v="February"/>
    <s v="Q1"/>
    <x v="2"/>
    <s v="Processing"/>
    <x v="5"/>
    <s v="Non-Recordable"/>
    <s v="Nil (No Injury)"/>
    <x v="8"/>
    <s v="Afternoon"/>
    <n v="0"/>
    <s v="Clear"/>
    <x v="0"/>
    <s v="Priya Nair"/>
    <s v="Open"/>
    <s v="Overdue"/>
    <n v="12"/>
    <n v="44268"/>
    <n v="0"/>
    <n v="0"/>
    <n v="0"/>
    <n v="0"/>
    <d v="2024-02-01T00:00:00"/>
    <s v="Pilbara Crusher Plant|2024-02"/>
  </r>
  <r>
    <s v="INC-0406"/>
    <d v="2023-05-30T00:00:00"/>
    <x v="0"/>
    <n v="5"/>
    <s v="May"/>
    <s v="Q2"/>
    <x v="4"/>
    <s v="Administration"/>
    <x v="3"/>
    <s v="Recordable"/>
    <s v="Foot/Ankle"/>
    <x v="5"/>
    <s v="Day"/>
    <n v="0"/>
    <s v="Wind"/>
    <x v="1"/>
    <s v="Sarah Chen"/>
    <s v="Closed"/>
    <s v="Complete"/>
    <n v="9"/>
    <n v="89732"/>
    <n v="1"/>
    <n v="0"/>
    <n v="0"/>
    <n v="0"/>
    <d v="2023-05-01T00:00:00"/>
    <s v="Katherine Processing Site|2023-05"/>
  </r>
  <r>
    <s v="INC-0407"/>
    <d v="2023-08-18T00:00:00"/>
    <x v="0"/>
    <n v="8"/>
    <s v="August"/>
    <s v="Q3"/>
    <x v="2"/>
    <s v="Logistics"/>
    <x v="0"/>
    <s v="Non-Recordable"/>
    <s v="Nil (No Injury)"/>
    <x v="7"/>
    <s v="Night"/>
    <n v="0"/>
    <s v="Clear"/>
    <x v="2"/>
    <s v="Mark Daniels"/>
    <s v="Closed"/>
    <s v="Overdue"/>
    <n v="12"/>
    <n v="84970"/>
    <n v="0"/>
    <n v="0"/>
    <n v="0"/>
    <n v="0"/>
    <d v="2023-08-01T00:00:00"/>
    <s v="Pilbara Crusher Plant|2023-08"/>
  </r>
  <r>
    <s v="INC-0408"/>
    <d v="2023-05-26T00:00:00"/>
    <x v="0"/>
    <n v="5"/>
    <s v="May"/>
    <s v="Q2"/>
    <x v="4"/>
    <s v="Administration"/>
    <x v="6"/>
    <s v="Recordable"/>
    <s v="Shoulder"/>
    <x v="4"/>
    <s v="Night"/>
    <n v="7"/>
    <s v="Clear"/>
    <x v="1"/>
    <s v="Mark Daniels"/>
    <s v="In Progress"/>
    <s v="Complete"/>
    <n v="12"/>
    <n v="69958"/>
    <n v="1"/>
    <n v="0"/>
    <n v="1"/>
    <n v="1"/>
    <d v="2023-05-01T00:00:00"/>
    <s v="Katherine Processing Site|2023-05"/>
  </r>
  <r>
    <s v="INC-0409"/>
    <d v="2024-01-09T00:00:00"/>
    <x v="2"/>
    <n v="1"/>
    <s v="January"/>
    <s v="Q1"/>
    <x v="1"/>
    <s v="Construction"/>
    <x v="3"/>
    <s v="Recordable"/>
    <s v="Knee"/>
    <x v="2"/>
    <s v="Day"/>
    <n v="0"/>
    <s v="Clear"/>
    <x v="0"/>
    <s v="David Torres"/>
    <s v="Closed"/>
    <s v="Complete"/>
    <n v="11"/>
    <n v="105483"/>
    <n v="1"/>
    <n v="0"/>
    <n v="0"/>
    <n v="0"/>
    <d v="2024-01-01T00:00:00"/>
    <s v="Darwin Port Facility|2024-01"/>
  </r>
  <r>
    <s v="INC-0410"/>
    <d v="2022-05-18T00:00:00"/>
    <x v="1"/>
    <n v="5"/>
    <s v="May"/>
    <s v="Q2"/>
    <x v="3"/>
    <s v="Construction"/>
    <x v="2"/>
    <s v="Non-Recordable"/>
    <s v="Nil (No Injury)"/>
    <x v="4"/>
    <s v="Night"/>
    <n v="0"/>
    <s v="Clear"/>
    <x v="2"/>
    <s v="Priya Nair"/>
    <s v="In Progress"/>
    <s v="Complete"/>
    <n v="11"/>
    <n v="52972"/>
    <n v="0"/>
    <n v="0"/>
    <n v="0"/>
    <n v="0"/>
    <d v="2022-05-01T00:00:00"/>
    <s v="Broome Logistics Hub|2022-05"/>
  </r>
  <r>
    <s v="INC-0411"/>
    <d v="2023-12-09T00:00:00"/>
    <x v="0"/>
    <n v="12"/>
    <s v="December"/>
    <s v="Q4"/>
    <x v="0"/>
    <s v="Maintenance"/>
    <x v="1"/>
    <s v="Non-Recordable"/>
    <s v="Head"/>
    <x v="5"/>
    <s v="Afternoon"/>
    <n v="0"/>
    <s v="Clear"/>
    <x v="1"/>
    <s v="Sarah Chen"/>
    <s v="Closed"/>
    <s v="Complete"/>
    <n v="10"/>
    <n v="113446"/>
    <n v="0"/>
    <n v="0"/>
    <n v="0"/>
    <n v="0"/>
    <d v="2023-12-01T00:00:00"/>
    <s v="Thunderbird Mine|2023-12"/>
  </r>
  <r>
    <s v="INC-0412"/>
    <d v="2023-07-25T00:00:00"/>
    <x v="0"/>
    <n v="7"/>
    <s v="July"/>
    <s v="Q3"/>
    <x v="2"/>
    <s v="Logistics"/>
    <x v="2"/>
    <s v="Non-Recordable"/>
    <s v="Nil (No Injury)"/>
    <x v="1"/>
    <s v="Night"/>
    <n v="0"/>
    <s v="Clear"/>
    <x v="2"/>
    <s v="Priya Nair"/>
    <s v="Closed"/>
    <s v="Pending"/>
    <n v="12"/>
    <n v="110574"/>
    <n v="0"/>
    <n v="0"/>
    <n v="0"/>
    <n v="0"/>
    <d v="2023-07-01T00:00:00"/>
    <s v="Pilbara Crusher Plant|2023-07"/>
  </r>
  <r>
    <s v="INC-0413"/>
    <d v="2022-06-28T00:00:00"/>
    <x v="1"/>
    <n v="6"/>
    <s v="June"/>
    <s v="Q2"/>
    <x v="2"/>
    <s v="Logistics"/>
    <x v="2"/>
    <s v="Non-Recordable"/>
    <s v="Nil (No Injury)"/>
    <x v="4"/>
    <s v="Afternoon"/>
    <n v="0"/>
    <s v="Extreme Heat"/>
    <x v="1"/>
    <s v="David Torres"/>
    <s v="Closed"/>
    <s v="Overdue"/>
    <n v="12"/>
    <n v="77555"/>
    <n v="0"/>
    <n v="0"/>
    <n v="0"/>
    <n v="0"/>
    <d v="2022-06-01T00:00:00"/>
    <s v="Pilbara Crusher Plant|2022-06"/>
  </r>
  <r>
    <s v="INC-0414"/>
    <d v="2023-04-20T00:00:00"/>
    <x v="0"/>
    <n v="4"/>
    <s v="April"/>
    <s v="Q2"/>
    <x v="1"/>
    <s v="Maintenance"/>
    <x v="4"/>
    <s v="Non-Recordable"/>
    <s v="Nil (No Injury)"/>
    <x v="4"/>
    <s v="Night"/>
    <n v="0"/>
    <s v="Wind"/>
    <x v="1"/>
    <s v="Jo Smith"/>
    <s v="Closed"/>
    <s v="Complete"/>
    <n v="10"/>
    <n v="69912"/>
    <n v="0"/>
    <n v="0"/>
    <n v="0"/>
    <n v="0"/>
    <d v="2023-04-01T00:00:00"/>
    <s v="Darwin Port Facility|2023-04"/>
  </r>
  <r>
    <s v="INC-0415"/>
    <d v="2022-11-18T00:00:00"/>
    <x v="1"/>
    <n v="11"/>
    <s v="November"/>
    <s v="Q4"/>
    <x v="2"/>
    <s v="Administration"/>
    <x v="3"/>
    <s v="Recordable"/>
    <s v="Head"/>
    <x v="7"/>
    <s v="Afternoon"/>
    <n v="0"/>
    <s v="Rain"/>
    <x v="2"/>
    <s v="David Torres"/>
    <s v="Closed"/>
    <s v="Pending"/>
    <n v="12"/>
    <n v="99020"/>
    <n v="1"/>
    <n v="0"/>
    <n v="0"/>
    <n v="0"/>
    <d v="2022-11-01T00:00:00"/>
    <s v="Pilbara Crusher Plant|2022-11"/>
  </r>
  <r>
    <s v="INC-0416"/>
    <d v="2023-02-28T00:00:00"/>
    <x v="0"/>
    <n v="2"/>
    <s v="February"/>
    <s v="Q1"/>
    <x v="1"/>
    <s v="Mining Operations"/>
    <x v="1"/>
    <s v="Non-Recordable"/>
    <s v="Foot/Ankle"/>
    <x v="8"/>
    <s v="Afternoon"/>
    <n v="0"/>
    <s v="Clear"/>
    <x v="0"/>
    <s v="Mark Daniels"/>
    <s v="Closed"/>
    <s v="Overdue"/>
    <n v="8"/>
    <n v="52524"/>
    <n v="0"/>
    <n v="0"/>
    <n v="0"/>
    <n v="0"/>
    <d v="2023-02-01T00:00:00"/>
    <s v="Darwin Port Facility|2023-02"/>
  </r>
  <r>
    <s v="INC-0417"/>
    <d v="2022-03-07T00:00:00"/>
    <x v="1"/>
    <n v="3"/>
    <s v="March"/>
    <s v="Q1"/>
    <x v="0"/>
    <s v="Mining Operations"/>
    <x v="6"/>
    <s v="Recordable"/>
    <s v="Knee"/>
    <x v="9"/>
    <s v="Day"/>
    <n v="18"/>
    <s v="Clear"/>
    <x v="2"/>
    <s v="Priya Nair"/>
    <s v="Closed"/>
    <s v="Complete"/>
    <n v="11"/>
    <n v="80549"/>
    <n v="1"/>
    <n v="0"/>
    <n v="0"/>
    <n v="1"/>
    <d v="2022-03-01T00:00:00"/>
    <s v="Thunderbird Mine|2022-03"/>
  </r>
  <r>
    <s v="INC-0418"/>
    <d v="2024-01-26T00:00:00"/>
    <x v="2"/>
    <n v="1"/>
    <s v="January"/>
    <s v="Q1"/>
    <x v="4"/>
    <s v="Administration"/>
    <x v="3"/>
    <s v="Recordable"/>
    <s v="Foot/Ankle"/>
    <x v="6"/>
    <s v="Afternoon"/>
    <n v="0"/>
    <s v="Overcast"/>
    <x v="0"/>
    <s v="Jo Smith"/>
    <s v="Closed"/>
    <s v="Complete"/>
    <n v="10"/>
    <n v="102410"/>
    <n v="1"/>
    <n v="0"/>
    <n v="0"/>
    <n v="0"/>
    <d v="2024-01-01T00:00:00"/>
    <s v="Katherine Processing Site|2024-01"/>
  </r>
  <r>
    <s v="INC-0419"/>
    <d v="2023-04-24T00:00:00"/>
    <x v="0"/>
    <n v="4"/>
    <s v="April"/>
    <s v="Q2"/>
    <x v="3"/>
    <s v="Logistics"/>
    <x v="2"/>
    <s v="Non-Recordable"/>
    <s v="Nil (No Injury)"/>
    <x v="9"/>
    <s v="Night"/>
    <n v="0"/>
    <s v="Clear"/>
    <x v="0"/>
    <s v="Priya Nair"/>
    <s v="In Progress"/>
    <s v="Overdue"/>
    <n v="12"/>
    <n v="97013"/>
    <n v="0"/>
    <n v="0"/>
    <n v="0"/>
    <n v="0"/>
    <d v="2023-04-01T00:00:00"/>
    <s v="Broome Logistics Hub|2023-04"/>
  </r>
  <r>
    <s v="INC-0420"/>
    <d v="2023-06-21T00:00:00"/>
    <x v="0"/>
    <n v="6"/>
    <s v="June"/>
    <s v="Q2"/>
    <x v="3"/>
    <s v="Logistics"/>
    <x v="4"/>
    <s v="Non-Recordable"/>
    <s v="Nil (No Injury)"/>
    <x v="4"/>
    <s v="Night"/>
    <n v="0"/>
    <s v="Extreme Heat"/>
    <x v="0"/>
    <s v="Jo Smith"/>
    <s v="Open"/>
    <s v="Complete"/>
    <n v="10"/>
    <n v="94028"/>
    <n v="0"/>
    <n v="0"/>
    <n v="0"/>
    <n v="0"/>
    <d v="2023-06-01T00:00:00"/>
    <s v="Broome Logistics Hub|2023-06"/>
  </r>
  <r>
    <s v="INC-0421"/>
    <d v="2022-09-24T00:00:00"/>
    <x v="1"/>
    <n v="9"/>
    <s v="September"/>
    <s v="Q3"/>
    <x v="2"/>
    <s v="Mining Operations"/>
    <x v="1"/>
    <s v="Non-Recordable"/>
    <s v="Hand/Fingers"/>
    <x v="9"/>
    <s v="Day"/>
    <n v="0"/>
    <s v="Clear"/>
    <x v="2"/>
    <s v="David Torres"/>
    <s v="In Progress"/>
    <s v="Complete"/>
    <n v="11"/>
    <n v="102530"/>
    <n v="0"/>
    <n v="0"/>
    <n v="0"/>
    <n v="0"/>
    <d v="2022-09-01T00:00:00"/>
    <s v="Pilbara Crusher Plant|2022-09"/>
  </r>
  <r>
    <s v="INC-0422"/>
    <d v="2022-11-03T00:00:00"/>
    <x v="1"/>
    <n v="11"/>
    <s v="November"/>
    <s v="Q4"/>
    <x v="4"/>
    <s v="Logistics"/>
    <x v="0"/>
    <s v="Non-Recordable"/>
    <s v="Nil (No Injury)"/>
    <x v="7"/>
    <s v="Day"/>
    <n v="0"/>
    <s v="Overcast"/>
    <x v="0"/>
    <s v="Priya Nair"/>
    <s v="Closed"/>
    <s v="Complete"/>
    <n v="11"/>
    <n v="113472"/>
    <n v="0"/>
    <n v="0"/>
    <n v="0"/>
    <n v="0"/>
    <d v="2022-11-01T00:00:00"/>
    <s v="Katherine Processing Site|2022-11"/>
  </r>
  <r>
    <s v="INC-0423"/>
    <d v="2022-09-13T00:00:00"/>
    <x v="1"/>
    <n v="9"/>
    <s v="September"/>
    <s v="Q3"/>
    <x v="4"/>
    <s v="Processing"/>
    <x v="1"/>
    <s v="Non-Recordable"/>
    <s v="Eye"/>
    <x v="0"/>
    <s v="Day"/>
    <n v="0"/>
    <s v="Rain"/>
    <x v="0"/>
    <s v="Priya Nair"/>
    <s v="In Progress"/>
    <s v="Complete"/>
    <n v="10"/>
    <n v="109722"/>
    <n v="0"/>
    <n v="0"/>
    <n v="0"/>
    <n v="0"/>
    <d v="2022-09-01T00:00:00"/>
    <s v="Katherine Processing Site|2022-09"/>
  </r>
  <r>
    <s v="INC-0424"/>
    <d v="2024-04-08T00:00:00"/>
    <x v="2"/>
    <n v="4"/>
    <s v="April"/>
    <s v="Q2"/>
    <x v="4"/>
    <s v="Maintenance"/>
    <x v="3"/>
    <s v="Recordable"/>
    <s v="Back/Spine"/>
    <x v="6"/>
    <s v="Day"/>
    <n v="0"/>
    <s v="Clear"/>
    <x v="0"/>
    <s v="David Torres"/>
    <s v="In Progress"/>
    <s v="Overdue"/>
    <n v="10"/>
    <n v="104486"/>
    <n v="1"/>
    <n v="0"/>
    <n v="0"/>
    <n v="0"/>
    <d v="2024-04-01T00:00:00"/>
    <s v="Katherine Processing Site|2024-04"/>
  </r>
  <r>
    <s v="INC-0425"/>
    <d v="2022-07-12T00:00:00"/>
    <x v="1"/>
    <n v="7"/>
    <s v="July"/>
    <s v="Q3"/>
    <x v="0"/>
    <s v="Maintenance"/>
    <x v="3"/>
    <s v="Recordable"/>
    <s v="Hand/Fingers"/>
    <x v="9"/>
    <s v="Day"/>
    <n v="0"/>
    <s v="Clear"/>
    <x v="0"/>
    <s v="Sarah Chen"/>
    <s v="Closed"/>
    <s v="Complete"/>
    <n v="11"/>
    <n v="41075"/>
    <n v="1"/>
    <n v="0"/>
    <n v="0"/>
    <n v="0"/>
    <d v="2022-07-01T00:00:00"/>
    <s v="Thunderbird Mine|2022-07"/>
  </r>
  <r>
    <s v="INC-0426"/>
    <d v="2022-08-27T00:00:00"/>
    <x v="1"/>
    <n v="8"/>
    <s v="August"/>
    <s v="Q3"/>
    <x v="1"/>
    <s v="Mining Operations"/>
    <x v="0"/>
    <s v="Non-Recordable"/>
    <s v="Nil (No Injury)"/>
    <x v="5"/>
    <s v="Day"/>
    <n v="0"/>
    <s v="Clear"/>
    <x v="1"/>
    <s v="Sarah Chen"/>
    <s v="Open"/>
    <s v="Complete"/>
    <n v="11"/>
    <n v="44159"/>
    <n v="0"/>
    <n v="0"/>
    <n v="0"/>
    <n v="0"/>
    <d v="2022-08-01T00:00:00"/>
    <s v="Darwin Port Facility|2022-08"/>
  </r>
  <r>
    <s v="INC-0427"/>
    <d v="2024-05-13T00:00:00"/>
    <x v="2"/>
    <n v="5"/>
    <s v="May"/>
    <s v="Q2"/>
    <x v="1"/>
    <s v="Mining Operations"/>
    <x v="2"/>
    <s v="Non-Recordable"/>
    <s v="Nil (No Injury)"/>
    <x v="0"/>
    <s v="Night"/>
    <n v="0"/>
    <s v="Clear"/>
    <x v="1"/>
    <s v="Mark Daniels"/>
    <s v="Closed"/>
    <s v="Complete"/>
    <n v="11"/>
    <n v="41653"/>
    <n v="0"/>
    <n v="0"/>
    <n v="0"/>
    <n v="0"/>
    <d v="2024-05-01T00:00:00"/>
    <s v="Darwin Port Facility|2024-05"/>
  </r>
  <r>
    <s v="INC-0428"/>
    <d v="2022-05-05T00:00:00"/>
    <x v="1"/>
    <n v="5"/>
    <s v="May"/>
    <s v="Q2"/>
    <x v="1"/>
    <s v="Processing"/>
    <x v="2"/>
    <s v="Non-Recordable"/>
    <s v="Nil (No Injury)"/>
    <x v="5"/>
    <s v="Day"/>
    <n v="0"/>
    <s v="Wind"/>
    <x v="0"/>
    <s v="Mark Daniels"/>
    <s v="Open"/>
    <s v="Complete"/>
    <n v="12"/>
    <n v="67321"/>
    <n v="0"/>
    <n v="0"/>
    <n v="0"/>
    <n v="0"/>
    <d v="2022-05-01T00:00:00"/>
    <s v="Darwin Port Facility|2022-05"/>
  </r>
  <r>
    <s v="INC-0429"/>
    <d v="2023-04-30T00:00:00"/>
    <x v="0"/>
    <n v="4"/>
    <s v="April"/>
    <s v="Q2"/>
    <x v="2"/>
    <s v="Logistics"/>
    <x v="6"/>
    <s v="Recordable"/>
    <s v="Foot/Ankle"/>
    <x v="1"/>
    <s v="Afternoon"/>
    <n v="22"/>
    <s v="Extreme Heat"/>
    <x v="0"/>
    <s v="Sarah Chen"/>
    <s v="Open"/>
    <s v="Complete"/>
    <n v="9"/>
    <n v="87241"/>
    <n v="1"/>
    <n v="0"/>
    <n v="1"/>
    <n v="1"/>
    <d v="2023-04-01T00:00:00"/>
    <s v="Pilbara Crusher Plant|2023-04"/>
  </r>
  <r>
    <s v="INC-0430"/>
    <d v="2024-06-03T00:00:00"/>
    <x v="2"/>
    <n v="6"/>
    <s v="June"/>
    <s v="Q2"/>
    <x v="1"/>
    <s v="Mining Operations"/>
    <x v="4"/>
    <s v="Non-Recordable"/>
    <s v="Nil (No Injury)"/>
    <x v="8"/>
    <s v="Afternoon"/>
    <n v="0"/>
    <s v="Rain"/>
    <x v="2"/>
    <s v="Jo Smith"/>
    <s v="Closed"/>
    <s v="Complete"/>
    <n v="12"/>
    <n v="55682"/>
    <n v="0"/>
    <n v="0"/>
    <n v="0"/>
    <n v="0"/>
    <d v="2024-06-01T00:00:00"/>
    <s v="Darwin Port Facility|2024-06"/>
  </r>
  <r>
    <s v="INC-0431"/>
    <d v="2023-02-10T00:00:00"/>
    <x v="0"/>
    <n v="2"/>
    <s v="February"/>
    <s v="Q1"/>
    <x v="1"/>
    <s v="Mining Operations"/>
    <x v="2"/>
    <s v="Non-Recordable"/>
    <s v="Nil (No Injury)"/>
    <x v="1"/>
    <s v="Afternoon"/>
    <n v="0"/>
    <s v="Overcast"/>
    <x v="1"/>
    <s v="Priya Nair"/>
    <s v="Closed"/>
    <s v="Complete"/>
    <n v="8"/>
    <n v="72600"/>
    <n v="0"/>
    <n v="0"/>
    <n v="0"/>
    <n v="0"/>
    <d v="2023-02-01T00:00:00"/>
    <s v="Darwin Port Facility|2023-02"/>
  </r>
  <r>
    <s v="INC-0432"/>
    <d v="2022-06-11T00:00:00"/>
    <x v="1"/>
    <n v="6"/>
    <s v="June"/>
    <s v="Q2"/>
    <x v="3"/>
    <s v="Logistics"/>
    <x v="6"/>
    <s v="Recordable"/>
    <s v="Hand/Fingers"/>
    <x v="1"/>
    <s v="Night"/>
    <n v="3"/>
    <s v="Wind"/>
    <x v="0"/>
    <s v="Priya Nair"/>
    <s v="Closed"/>
    <s v="Complete"/>
    <n v="11"/>
    <n v="70497"/>
    <n v="1"/>
    <n v="0"/>
    <n v="0"/>
    <n v="1"/>
    <d v="2022-06-01T00:00:00"/>
    <s v="Broome Logistics Hub|2022-06"/>
  </r>
  <r>
    <s v="INC-0433"/>
    <d v="2023-07-26T00:00:00"/>
    <x v="0"/>
    <n v="7"/>
    <s v="July"/>
    <s v="Q3"/>
    <x v="2"/>
    <s v="Processing"/>
    <x v="2"/>
    <s v="Non-Recordable"/>
    <s v="Nil (No Injury)"/>
    <x v="8"/>
    <s v="Day"/>
    <n v="0"/>
    <s v="Wind"/>
    <x v="1"/>
    <s v="Sarah Chen"/>
    <s v="Closed"/>
    <s v="Complete"/>
    <n v="8"/>
    <n v="103609"/>
    <n v="0"/>
    <n v="0"/>
    <n v="0"/>
    <n v="0"/>
    <d v="2023-07-01T00:00:00"/>
    <s v="Pilbara Crusher Plant|2023-07"/>
  </r>
  <r>
    <s v="INC-0434"/>
    <d v="2023-12-25T00:00:00"/>
    <x v="0"/>
    <n v="12"/>
    <s v="December"/>
    <s v="Q4"/>
    <x v="2"/>
    <s v="Construction"/>
    <x v="6"/>
    <s v="Recordable"/>
    <s v="Nil (No Injury)"/>
    <x v="8"/>
    <s v="Afternoon"/>
    <n v="18"/>
    <s v="Clear"/>
    <x v="2"/>
    <s v="Sarah Chen"/>
    <s v="Open"/>
    <s v="Complete"/>
    <n v="12"/>
    <n v="112682"/>
    <n v="1"/>
    <n v="0"/>
    <n v="0"/>
    <n v="1"/>
    <d v="2023-12-01T00:00:00"/>
    <s v="Pilbara Crusher Plant|2023-12"/>
  </r>
  <r>
    <s v="INC-0435"/>
    <d v="2023-06-28T00:00:00"/>
    <x v="0"/>
    <n v="6"/>
    <s v="June"/>
    <s v="Q2"/>
    <x v="4"/>
    <s v="Logistics"/>
    <x v="1"/>
    <s v="Non-Recordable"/>
    <s v="Head"/>
    <x v="9"/>
    <s v="Night"/>
    <n v="0"/>
    <s v="Rain"/>
    <x v="0"/>
    <s v="Priya Nair"/>
    <s v="Open"/>
    <s v="Complete"/>
    <n v="8"/>
    <n v="87720"/>
    <n v="0"/>
    <n v="0"/>
    <n v="0"/>
    <n v="0"/>
    <d v="2023-06-01T00:00:00"/>
    <s v="Katherine Processing Site|2023-06"/>
  </r>
  <r>
    <s v="INC-0436"/>
    <d v="2024-03-05T00:00:00"/>
    <x v="2"/>
    <n v="3"/>
    <s v="March"/>
    <s v="Q1"/>
    <x v="1"/>
    <s v="Logistics"/>
    <x v="5"/>
    <s v="Non-Recordable"/>
    <s v="Nil (No Injury)"/>
    <x v="3"/>
    <s v="Afternoon"/>
    <n v="0"/>
    <s v="Extreme Heat"/>
    <x v="1"/>
    <s v="Mark Daniels"/>
    <s v="In Progress"/>
    <s v="Overdue"/>
    <n v="12"/>
    <n v="60202"/>
    <n v="0"/>
    <n v="0"/>
    <n v="0"/>
    <n v="0"/>
    <d v="2024-03-01T00:00:00"/>
    <s v="Darwin Port Facility|2024-03"/>
  </r>
  <r>
    <s v="INC-0437"/>
    <d v="2023-09-20T00:00:00"/>
    <x v="0"/>
    <n v="9"/>
    <s v="September"/>
    <s v="Q3"/>
    <x v="2"/>
    <s v="Processing"/>
    <x v="3"/>
    <s v="Recordable"/>
    <s v="Shoulder"/>
    <x v="3"/>
    <s v="Day"/>
    <n v="0"/>
    <s v="Extreme Heat"/>
    <x v="0"/>
    <s v="Jo Smith"/>
    <s v="Closed"/>
    <s v="Complete"/>
    <n v="8"/>
    <n v="66486"/>
    <n v="1"/>
    <n v="0"/>
    <n v="0"/>
    <n v="0"/>
    <d v="2023-09-01T00:00:00"/>
    <s v="Pilbara Crusher Plant|2023-09"/>
  </r>
  <r>
    <s v="INC-0438"/>
    <d v="2022-04-20T00:00:00"/>
    <x v="1"/>
    <n v="4"/>
    <s v="April"/>
    <s v="Q2"/>
    <x v="0"/>
    <s v="Mining Operations"/>
    <x v="6"/>
    <s v="Recordable"/>
    <s v="Nil (No Injury)"/>
    <x v="2"/>
    <s v="Afternoon"/>
    <n v="7"/>
    <s v="Rain"/>
    <x v="2"/>
    <s v="Jo Smith"/>
    <s v="Closed"/>
    <s v="Complete"/>
    <n v="12"/>
    <n v="49289"/>
    <n v="1"/>
    <n v="0"/>
    <n v="0"/>
    <n v="1"/>
    <d v="2022-04-01T00:00:00"/>
    <s v="Thunderbird Mine|2022-04"/>
  </r>
  <r>
    <s v="INC-0439"/>
    <d v="2022-08-02T00:00:00"/>
    <x v="1"/>
    <n v="8"/>
    <s v="August"/>
    <s v="Q3"/>
    <x v="4"/>
    <s v="Mining Operations"/>
    <x v="4"/>
    <s v="Non-Recordable"/>
    <s v="Nil (No Injury)"/>
    <x v="5"/>
    <s v="Afternoon"/>
    <n v="0"/>
    <s v="Clear"/>
    <x v="2"/>
    <s v="Priya Nair"/>
    <s v="Open"/>
    <s v="Complete"/>
    <n v="8"/>
    <n v="74840"/>
    <n v="0"/>
    <n v="0"/>
    <n v="0"/>
    <n v="0"/>
    <d v="2022-08-01T00:00:00"/>
    <s v="Katherine Processing Site|2022-08"/>
  </r>
  <r>
    <s v="INC-0440"/>
    <d v="2023-06-26T00:00:00"/>
    <x v="0"/>
    <n v="6"/>
    <s v="June"/>
    <s v="Q2"/>
    <x v="0"/>
    <s v="Logistics"/>
    <x v="0"/>
    <s v="Non-Recordable"/>
    <s v="Nil (No Injury)"/>
    <x v="3"/>
    <s v="Day"/>
    <n v="0"/>
    <s v="Extreme Heat"/>
    <x v="0"/>
    <s v="Jo Smith"/>
    <s v="Closed"/>
    <s v="Pending"/>
    <n v="11"/>
    <n v="64832"/>
    <n v="0"/>
    <n v="0"/>
    <n v="0"/>
    <n v="0"/>
    <d v="2023-06-01T00:00:00"/>
    <s v="Thunderbird Mine|2023-06"/>
  </r>
  <r>
    <s v="INC-0441"/>
    <d v="2023-11-04T00:00:00"/>
    <x v="0"/>
    <n v="11"/>
    <s v="November"/>
    <s v="Q4"/>
    <x v="3"/>
    <s v="Administration"/>
    <x v="1"/>
    <s v="Non-Recordable"/>
    <s v="Foot/Ankle"/>
    <x v="9"/>
    <s v="Afternoon"/>
    <n v="0"/>
    <s v="Extreme Heat"/>
    <x v="1"/>
    <s v="Jo Smith"/>
    <s v="In Progress"/>
    <s v="Complete"/>
    <n v="11"/>
    <n v="95977"/>
    <n v="0"/>
    <n v="0"/>
    <n v="0"/>
    <n v="0"/>
    <d v="2023-11-01T00:00:00"/>
    <s v="Broome Logistics Hub|2023-11"/>
  </r>
  <r>
    <s v="INC-0442"/>
    <d v="2022-04-17T00:00:00"/>
    <x v="1"/>
    <n v="4"/>
    <s v="April"/>
    <s v="Q2"/>
    <x v="1"/>
    <s v="Construction"/>
    <x v="1"/>
    <s v="Non-Recordable"/>
    <s v="Knee"/>
    <x v="9"/>
    <s v="Night"/>
    <n v="0"/>
    <s v="Wind"/>
    <x v="0"/>
    <s v="Priya Nair"/>
    <s v="In Progress"/>
    <s v="Overdue"/>
    <n v="10"/>
    <n v="81307"/>
    <n v="0"/>
    <n v="0"/>
    <n v="0"/>
    <n v="0"/>
    <d v="2022-04-01T00:00:00"/>
    <s v="Darwin Port Facility|2022-04"/>
  </r>
  <r>
    <s v="INC-0443"/>
    <d v="2023-07-18T00:00:00"/>
    <x v="0"/>
    <n v="7"/>
    <s v="July"/>
    <s v="Q3"/>
    <x v="2"/>
    <s v="Processing"/>
    <x v="3"/>
    <s v="Recordable"/>
    <s v="Knee"/>
    <x v="4"/>
    <s v="Afternoon"/>
    <n v="0"/>
    <s v="Clear"/>
    <x v="0"/>
    <s v="David Torres"/>
    <s v="In Progress"/>
    <s v="Complete"/>
    <n v="10"/>
    <n v="99297"/>
    <n v="1"/>
    <n v="0"/>
    <n v="0"/>
    <n v="0"/>
    <d v="2023-07-01T00:00:00"/>
    <s v="Pilbara Crusher Plant|2023-07"/>
  </r>
  <r>
    <s v="INC-0444"/>
    <d v="2023-04-04T00:00:00"/>
    <x v="0"/>
    <n v="4"/>
    <s v="April"/>
    <s v="Q2"/>
    <x v="0"/>
    <s v="Logistics"/>
    <x v="6"/>
    <s v="Recordable"/>
    <s v="Nil (No Injury)"/>
    <x v="1"/>
    <s v="Afternoon"/>
    <n v="1"/>
    <s v="Clear"/>
    <x v="2"/>
    <s v="Jo Smith"/>
    <s v="Closed"/>
    <s v="Complete"/>
    <n v="9"/>
    <n v="81275"/>
    <n v="1"/>
    <n v="0"/>
    <n v="0"/>
    <n v="1"/>
    <d v="2023-04-01T00:00:00"/>
    <s v="Thunderbird Mine|2023-04"/>
  </r>
  <r>
    <s v="INC-0445"/>
    <d v="2024-04-21T00:00:00"/>
    <x v="2"/>
    <n v="4"/>
    <s v="April"/>
    <s v="Q2"/>
    <x v="2"/>
    <s v="Construction"/>
    <x v="4"/>
    <s v="Non-Recordable"/>
    <s v="Nil (No Injury)"/>
    <x v="9"/>
    <s v="Afternoon"/>
    <n v="0"/>
    <s v="Extreme Heat"/>
    <x v="0"/>
    <s v="Jo Smith"/>
    <s v="Closed"/>
    <s v="Overdue"/>
    <n v="10"/>
    <n v="60461"/>
    <n v="0"/>
    <n v="0"/>
    <n v="0"/>
    <n v="0"/>
    <d v="2024-04-01T00:00:00"/>
    <s v="Pilbara Crusher Plant|2024-04"/>
  </r>
  <r>
    <s v="INC-0446"/>
    <d v="2022-05-22T00:00:00"/>
    <x v="1"/>
    <n v="5"/>
    <s v="May"/>
    <s v="Q2"/>
    <x v="2"/>
    <s v="Construction"/>
    <x v="3"/>
    <s v="Recordable"/>
    <s v="Eye"/>
    <x v="8"/>
    <s v="Night"/>
    <n v="0"/>
    <s v="Overcast"/>
    <x v="2"/>
    <s v="Jo Smith"/>
    <s v="In Progress"/>
    <s v="Overdue"/>
    <n v="12"/>
    <n v="68499"/>
    <n v="1"/>
    <n v="0"/>
    <n v="0"/>
    <n v="0"/>
    <d v="2022-05-01T00:00:00"/>
    <s v="Pilbara Crusher Plant|2022-05"/>
  </r>
  <r>
    <s v="INC-0447"/>
    <d v="2024-01-22T00:00:00"/>
    <x v="2"/>
    <n v="1"/>
    <s v="January"/>
    <s v="Q1"/>
    <x v="2"/>
    <s v="Processing"/>
    <x v="0"/>
    <s v="Non-Recordable"/>
    <s v="Nil (No Injury)"/>
    <x v="6"/>
    <s v="Night"/>
    <n v="0"/>
    <s v="Overcast"/>
    <x v="0"/>
    <s v="Priya Nair"/>
    <s v="Closed"/>
    <s v="Complete"/>
    <n v="12"/>
    <n v="90010"/>
    <n v="0"/>
    <n v="0"/>
    <n v="0"/>
    <n v="0"/>
    <d v="2024-01-01T00:00:00"/>
    <s v="Pilbara Crusher Plant|2024-01"/>
  </r>
  <r>
    <s v="INC-0448"/>
    <d v="2022-02-27T00:00:00"/>
    <x v="1"/>
    <n v="2"/>
    <s v="February"/>
    <s v="Q1"/>
    <x v="2"/>
    <s v="Logistics"/>
    <x v="2"/>
    <s v="Non-Recordable"/>
    <s v="Nil (No Injury)"/>
    <x v="2"/>
    <s v="Night"/>
    <n v="0"/>
    <s v="Overcast"/>
    <x v="0"/>
    <s v="Mark Daniels"/>
    <s v="In Progress"/>
    <s v="Complete"/>
    <n v="11"/>
    <n v="47094"/>
    <n v="0"/>
    <n v="0"/>
    <n v="0"/>
    <n v="0"/>
    <d v="2022-02-01T00:00:00"/>
    <s v="Pilbara Crusher Plant|2022-02"/>
  </r>
  <r>
    <s v="INC-0449"/>
    <d v="2022-11-09T00:00:00"/>
    <x v="1"/>
    <n v="11"/>
    <s v="November"/>
    <s v="Q4"/>
    <x v="0"/>
    <s v="Logistics"/>
    <x v="5"/>
    <s v="Non-Recordable"/>
    <s v="Nil (No Injury)"/>
    <x v="9"/>
    <s v="Afternoon"/>
    <n v="0"/>
    <s v="Clear"/>
    <x v="2"/>
    <s v="Priya Nair"/>
    <s v="Closed"/>
    <s v="Complete"/>
    <n v="8"/>
    <n v="91495"/>
    <n v="0"/>
    <n v="0"/>
    <n v="0"/>
    <n v="0"/>
    <d v="2022-11-01T00:00:00"/>
    <s v="Thunderbird Mine|2022-11"/>
  </r>
  <r>
    <s v="INC-0450"/>
    <d v="2023-04-02T00:00:00"/>
    <x v="0"/>
    <n v="4"/>
    <s v="April"/>
    <s v="Q2"/>
    <x v="3"/>
    <s v="Construction"/>
    <x v="2"/>
    <s v="Non-Recordable"/>
    <s v="Nil (No Injury)"/>
    <x v="9"/>
    <s v="Day"/>
    <n v="0"/>
    <s v="Clear"/>
    <x v="1"/>
    <s v="Sarah Chen"/>
    <s v="Open"/>
    <s v="Complete"/>
    <n v="9"/>
    <n v="84062"/>
    <n v="0"/>
    <n v="0"/>
    <n v="0"/>
    <n v="0"/>
    <d v="2023-04-01T00:00:00"/>
    <s v="Broome Logistics Hub|2023-04"/>
  </r>
  <r>
    <s v="INC-0451"/>
    <d v="2022-03-26T00:00:00"/>
    <x v="1"/>
    <n v="3"/>
    <s v="March"/>
    <s v="Q1"/>
    <x v="0"/>
    <s v="Construction"/>
    <x v="6"/>
    <s v="Recordable"/>
    <s v="Knee"/>
    <x v="0"/>
    <s v="Day"/>
    <n v="19"/>
    <s v="Rain"/>
    <x v="1"/>
    <s v="Mark Daniels"/>
    <s v="Closed"/>
    <s v="Overdue"/>
    <n v="12"/>
    <n v="65966"/>
    <n v="1"/>
    <n v="0"/>
    <n v="0"/>
    <n v="1"/>
    <d v="2022-03-01T00:00:00"/>
    <s v="Thunderbird Mine|2022-03"/>
  </r>
  <r>
    <s v="INC-0452"/>
    <d v="2023-10-30T00:00:00"/>
    <x v="0"/>
    <n v="10"/>
    <s v="October"/>
    <s v="Q4"/>
    <x v="1"/>
    <s v="Construction"/>
    <x v="5"/>
    <s v="Non-Recordable"/>
    <s v="Nil (No Injury)"/>
    <x v="7"/>
    <s v="Afternoon"/>
    <n v="0"/>
    <s v="Extreme Heat"/>
    <x v="0"/>
    <s v="Mark Daniels"/>
    <s v="Closed"/>
    <s v="Complete"/>
    <n v="11"/>
    <n v="82390"/>
    <n v="0"/>
    <n v="0"/>
    <n v="0"/>
    <n v="0"/>
    <d v="2023-10-01T00:00:00"/>
    <s v="Darwin Port Facility|2023-10"/>
  </r>
  <r>
    <s v="INC-0453"/>
    <d v="2023-12-03T00:00:00"/>
    <x v="0"/>
    <n v="12"/>
    <s v="December"/>
    <s v="Q4"/>
    <x v="0"/>
    <s v="Mining Operations"/>
    <x v="5"/>
    <s v="Non-Recordable"/>
    <s v="Nil (No Injury)"/>
    <x v="2"/>
    <s v="Night"/>
    <n v="0"/>
    <s v="Clear"/>
    <x v="2"/>
    <s v="Mark Daniels"/>
    <s v="Closed"/>
    <s v="Complete"/>
    <n v="12"/>
    <n v="43172"/>
    <n v="0"/>
    <n v="0"/>
    <n v="0"/>
    <n v="0"/>
    <d v="2023-12-01T00:00:00"/>
    <s v="Thunderbird Mine|2023-12"/>
  </r>
  <r>
    <s v="INC-0454"/>
    <d v="2024-02-28T00:00:00"/>
    <x v="2"/>
    <n v="2"/>
    <s v="February"/>
    <s v="Q1"/>
    <x v="1"/>
    <s v="Logistics"/>
    <x v="3"/>
    <s v="Recordable"/>
    <s v="Nil (No Injury)"/>
    <x v="5"/>
    <s v="Afternoon"/>
    <n v="0"/>
    <s v="Clear"/>
    <x v="1"/>
    <s v="Jo Smith"/>
    <s v="Closed"/>
    <s v="Complete"/>
    <n v="10"/>
    <n v="60446"/>
    <n v="1"/>
    <n v="0"/>
    <n v="0"/>
    <n v="0"/>
    <d v="2024-02-01T00:00:00"/>
    <s v="Darwin Port Facility|2024-02"/>
  </r>
  <r>
    <s v="INC-0455"/>
    <d v="2024-02-15T00:00:00"/>
    <x v="2"/>
    <n v="2"/>
    <s v="February"/>
    <s v="Q1"/>
    <x v="0"/>
    <s v="Mining Operations"/>
    <x v="4"/>
    <s v="Non-Recordable"/>
    <s v="Nil (No Injury)"/>
    <x v="1"/>
    <s v="Day"/>
    <n v="0"/>
    <s v="Extreme Heat"/>
    <x v="0"/>
    <s v="Sarah Chen"/>
    <s v="Closed"/>
    <s v="Complete"/>
    <n v="8"/>
    <n v="79992"/>
    <n v="0"/>
    <n v="0"/>
    <n v="0"/>
    <n v="0"/>
    <d v="2024-02-01T00:00:00"/>
    <s v="Thunderbird Mine|2024-02"/>
  </r>
  <r>
    <s v="INC-0456"/>
    <d v="2023-04-06T00:00:00"/>
    <x v="0"/>
    <n v="4"/>
    <s v="April"/>
    <s v="Q2"/>
    <x v="2"/>
    <s v="Maintenance"/>
    <x v="6"/>
    <s v="Recordable"/>
    <s v="Nil (No Injury)"/>
    <x v="8"/>
    <s v="Day"/>
    <n v="1"/>
    <s v="Extreme Heat"/>
    <x v="2"/>
    <s v="Priya Nair"/>
    <s v="Open"/>
    <s v="Pending"/>
    <n v="9"/>
    <n v="42410"/>
    <n v="1"/>
    <n v="0"/>
    <n v="0"/>
    <n v="1"/>
    <d v="2023-04-01T00:00:00"/>
    <s v="Pilbara Crusher Plant|2023-04"/>
  </r>
  <r>
    <s v="INC-0457"/>
    <d v="2023-11-11T00:00:00"/>
    <x v="0"/>
    <n v="11"/>
    <s v="November"/>
    <s v="Q4"/>
    <x v="0"/>
    <s v="Logistics"/>
    <x v="5"/>
    <s v="Non-Recordable"/>
    <s v="Nil (No Injury)"/>
    <x v="6"/>
    <s v="Day"/>
    <n v="0"/>
    <s v="Clear"/>
    <x v="0"/>
    <s v="Priya Nair"/>
    <s v="Closed"/>
    <s v="Complete"/>
    <n v="11"/>
    <n v="41092"/>
    <n v="0"/>
    <n v="0"/>
    <n v="0"/>
    <n v="0"/>
    <d v="2023-11-01T00:00:00"/>
    <s v="Thunderbird Mine|2023-11"/>
  </r>
  <r>
    <s v="INC-0458"/>
    <d v="2022-03-10T00:00:00"/>
    <x v="1"/>
    <n v="3"/>
    <s v="March"/>
    <s v="Q1"/>
    <x v="2"/>
    <s v="Administration"/>
    <x v="6"/>
    <s v="Recordable"/>
    <s v="Shoulder"/>
    <x v="3"/>
    <s v="Day"/>
    <n v="22"/>
    <s v="Clear"/>
    <x v="1"/>
    <s v="Mark Daniels"/>
    <s v="Open"/>
    <s v="Pending"/>
    <n v="8"/>
    <n v="81347"/>
    <n v="1"/>
    <n v="0"/>
    <n v="0"/>
    <n v="1"/>
    <d v="2022-03-01T00:00:00"/>
    <s v="Pilbara Crusher Plant|2022-03"/>
  </r>
  <r>
    <s v="INC-0459"/>
    <d v="2023-09-04T00:00:00"/>
    <x v="0"/>
    <n v="9"/>
    <s v="September"/>
    <s v="Q3"/>
    <x v="0"/>
    <s v="Maintenance"/>
    <x v="5"/>
    <s v="Non-Recordable"/>
    <s v="Nil (No Injury)"/>
    <x v="8"/>
    <s v="Afternoon"/>
    <n v="0"/>
    <s v="Rain"/>
    <x v="0"/>
    <s v="Jo Smith"/>
    <s v="Closed"/>
    <s v="Pending"/>
    <n v="10"/>
    <n v="83721"/>
    <n v="0"/>
    <n v="0"/>
    <n v="0"/>
    <n v="0"/>
    <d v="2023-09-01T00:00:00"/>
    <s v="Thunderbird Mine|2023-09"/>
  </r>
  <r>
    <s v="INC-0460"/>
    <d v="2023-05-17T00:00:00"/>
    <x v="0"/>
    <n v="5"/>
    <s v="May"/>
    <s v="Q2"/>
    <x v="1"/>
    <s v="Mining Operations"/>
    <x v="6"/>
    <s v="Recordable"/>
    <s v="Shoulder"/>
    <x v="4"/>
    <s v="Night"/>
    <n v="24"/>
    <s v="Wind"/>
    <x v="2"/>
    <s v="Mark Daniels"/>
    <s v="In Progress"/>
    <s v="Complete"/>
    <n v="8"/>
    <n v="73774"/>
    <n v="1"/>
    <n v="0"/>
    <n v="1"/>
    <n v="1"/>
    <d v="2023-05-01T00:00:00"/>
    <s v="Darwin Port Facility|2023-05"/>
  </r>
  <r>
    <s v="INC-0461"/>
    <d v="2024-04-14T00:00:00"/>
    <x v="2"/>
    <n v="4"/>
    <s v="April"/>
    <s v="Q2"/>
    <x v="3"/>
    <s v="Logistics"/>
    <x v="0"/>
    <s v="Non-Recordable"/>
    <s v="Nil (No Injury)"/>
    <x v="8"/>
    <s v="Day"/>
    <n v="0"/>
    <s v="Clear"/>
    <x v="1"/>
    <s v="Mark Daniels"/>
    <s v="Closed"/>
    <s v="Overdue"/>
    <n v="12"/>
    <n v="69809"/>
    <n v="0"/>
    <n v="0"/>
    <n v="0"/>
    <n v="0"/>
    <d v="2024-04-01T00:00:00"/>
    <s v="Broome Logistics Hub|2024-04"/>
  </r>
  <r>
    <s v="INC-0462"/>
    <d v="2023-08-10T00:00:00"/>
    <x v="0"/>
    <n v="8"/>
    <s v="August"/>
    <s v="Q3"/>
    <x v="4"/>
    <s v="Logistics"/>
    <x v="1"/>
    <s v="Non-Recordable"/>
    <s v="Nil (No Injury)"/>
    <x v="4"/>
    <s v="Night"/>
    <n v="0"/>
    <s v="Extreme Heat"/>
    <x v="0"/>
    <s v="Mark Daniels"/>
    <s v="Closed"/>
    <s v="Pending"/>
    <n v="12"/>
    <n v="66517"/>
    <n v="0"/>
    <n v="0"/>
    <n v="0"/>
    <n v="0"/>
    <d v="2023-08-01T00:00:00"/>
    <s v="Katherine Processing Site|2023-08"/>
  </r>
  <r>
    <s v="INC-0463"/>
    <d v="2024-06-02T00:00:00"/>
    <x v="2"/>
    <n v="6"/>
    <s v="June"/>
    <s v="Q2"/>
    <x v="2"/>
    <s v="Administration"/>
    <x v="1"/>
    <s v="Non-Recordable"/>
    <s v="Nil (No Injury)"/>
    <x v="6"/>
    <s v="Night"/>
    <n v="0"/>
    <s v="Overcast"/>
    <x v="0"/>
    <s v="Priya Nair"/>
    <s v="Closed"/>
    <s v="Complete"/>
    <n v="8"/>
    <n v="113051"/>
    <n v="0"/>
    <n v="0"/>
    <n v="0"/>
    <n v="0"/>
    <d v="2024-06-01T00:00:00"/>
    <s v="Pilbara Crusher Plant|2024-06"/>
  </r>
  <r>
    <s v="INC-0464"/>
    <d v="2023-06-30T00:00:00"/>
    <x v="0"/>
    <n v="6"/>
    <s v="June"/>
    <s v="Q2"/>
    <x v="0"/>
    <s v="Maintenance"/>
    <x v="4"/>
    <s v="Non-Recordable"/>
    <s v="Nil (No Injury)"/>
    <x v="4"/>
    <s v="Day"/>
    <n v="0"/>
    <s v="Wind"/>
    <x v="0"/>
    <s v="Sarah Chen"/>
    <s v="Open"/>
    <s v="Overdue"/>
    <n v="10"/>
    <n v="98065"/>
    <n v="0"/>
    <n v="0"/>
    <n v="0"/>
    <n v="0"/>
    <d v="2023-06-01T00:00:00"/>
    <s v="Thunderbird Mine|2023-06"/>
  </r>
  <r>
    <s v="INC-0465"/>
    <d v="2024-02-03T00:00:00"/>
    <x v="2"/>
    <n v="2"/>
    <s v="February"/>
    <s v="Q1"/>
    <x v="2"/>
    <s v="Maintenance"/>
    <x v="2"/>
    <s v="Non-Recordable"/>
    <s v="Nil (No Injury)"/>
    <x v="8"/>
    <s v="Day"/>
    <n v="0"/>
    <s v="Clear"/>
    <x v="0"/>
    <s v="Jo Smith"/>
    <s v="In Progress"/>
    <s v="Pending"/>
    <n v="10"/>
    <n v="119377"/>
    <n v="0"/>
    <n v="0"/>
    <n v="0"/>
    <n v="0"/>
    <d v="2024-02-01T00:00:00"/>
    <s v="Pilbara Crusher Plant|2024-02"/>
  </r>
  <r>
    <s v="INC-0466"/>
    <d v="2023-08-04T00:00:00"/>
    <x v="0"/>
    <n v="8"/>
    <s v="August"/>
    <s v="Q3"/>
    <x v="1"/>
    <s v="Construction"/>
    <x v="5"/>
    <s v="Non-Recordable"/>
    <s v="Nil (No Injury)"/>
    <x v="8"/>
    <s v="Day"/>
    <n v="0"/>
    <s v="Wind"/>
    <x v="0"/>
    <s v="Sarah Chen"/>
    <s v="Closed"/>
    <s v="Overdue"/>
    <n v="9"/>
    <n v="105840"/>
    <n v="0"/>
    <n v="0"/>
    <n v="0"/>
    <n v="0"/>
    <d v="2023-08-01T00:00:00"/>
    <s v="Darwin Port Facility|2023-08"/>
  </r>
  <r>
    <s v="INC-0467"/>
    <d v="2024-05-16T00:00:00"/>
    <x v="2"/>
    <n v="5"/>
    <s v="May"/>
    <s v="Q2"/>
    <x v="4"/>
    <s v="Administration"/>
    <x v="5"/>
    <s v="Non-Recordable"/>
    <s v="Nil (No Injury)"/>
    <x v="4"/>
    <s v="Day"/>
    <n v="0"/>
    <s v="Overcast"/>
    <x v="1"/>
    <s v="David Torres"/>
    <s v="Open"/>
    <s v="Complete"/>
    <n v="9"/>
    <n v="65330"/>
    <n v="0"/>
    <n v="0"/>
    <n v="0"/>
    <n v="0"/>
    <d v="2024-05-01T00:00:00"/>
    <s v="Katherine Processing Site|2024-05"/>
  </r>
  <r>
    <s v="INC-0468"/>
    <d v="2022-08-20T00:00:00"/>
    <x v="1"/>
    <n v="8"/>
    <s v="August"/>
    <s v="Q3"/>
    <x v="4"/>
    <s v="Mining Operations"/>
    <x v="0"/>
    <s v="Non-Recordable"/>
    <s v="Nil (No Injury)"/>
    <x v="0"/>
    <s v="Night"/>
    <n v="0"/>
    <s v="Clear"/>
    <x v="0"/>
    <s v="Mark Daniels"/>
    <s v="Closed"/>
    <s v="Complete"/>
    <n v="11"/>
    <n v="104217"/>
    <n v="0"/>
    <n v="0"/>
    <n v="0"/>
    <n v="0"/>
    <d v="2022-08-01T00:00:00"/>
    <s v="Katherine Processing Site|2022-08"/>
  </r>
  <r>
    <s v="INC-0469"/>
    <d v="2024-06-06T00:00:00"/>
    <x v="2"/>
    <n v="6"/>
    <s v="June"/>
    <s v="Q2"/>
    <x v="1"/>
    <s v="Processing"/>
    <x v="6"/>
    <s v="Recordable"/>
    <s v="Knee"/>
    <x v="1"/>
    <s v="Afternoon"/>
    <n v="29"/>
    <s v="Wind"/>
    <x v="1"/>
    <s v="Sarah Chen"/>
    <s v="Open"/>
    <s v="Pending"/>
    <n v="12"/>
    <n v="117831"/>
    <n v="1"/>
    <n v="0"/>
    <n v="0"/>
    <n v="1"/>
    <d v="2024-06-01T00:00:00"/>
    <s v="Darwin Port Facility|2024-06"/>
  </r>
  <r>
    <s v="INC-0470"/>
    <d v="2023-10-19T00:00:00"/>
    <x v="0"/>
    <n v="10"/>
    <s v="October"/>
    <s v="Q4"/>
    <x v="0"/>
    <s v="Construction"/>
    <x v="4"/>
    <s v="Non-Recordable"/>
    <s v="Nil (No Injury)"/>
    <x v="3"/>
    <s v="Night"/>
    <n v="0"/>
    <s v="Rain"/>
    <x v="0"/>
    <s v="Mark Daniels"/>
    <s v="In Progress"/>
    <s v="Pending"/>
    <n v="11"/>
    <n v="45144"/>
    <n v="0"/>
    <n v="0"/>
    <n v="0"/>
    <n v="0"/>
    <d v="2023-10-01T00:00:00"/>
    <s v="Thunderbird Mine|2023-10"/>
  </r>
  <r>
    <s v="INC-0471"/>
    <d v="2023-07-26T00:00:00"/>
    <x v="0"/>
    <n v="7"/>
    <s v="July"/>
    <s v="Q3"/>
    <x v="0"/>
    <s v="Maintenance"/>
    <x v="6"/>
    <s v="Recordable"/>
    <s v="Head"/>
    <x v="5"/>
    <s v="Night"/>
    <n v="17"/>
    <s v="Clear"/>
    <x v="2"/>
    <s v="David Torres"/>
    <s v="Closed"/>
    <s v="Overdue"/>
    <n v="10"/>
    <n v="47149"/>
    <n v="1"/>
    <n v="0"/>
    <n v="0"/>
    <n v="1"/>
    <d v="2023-07-01T00:00:00"/>
    <s v="Thunderbird Mine|2023-07"/>
  </r>
  <r>
    <s v="INC-0472"/>
    <d v="2022-05-26T00:00:00"/>
    <x v="1"/>
    <n v="5"/>
    <s v="May"/>
    <s v="Q2"/>
    <x v="4"/>
    <s v="Mining Operations"/>
    <x v="6"/>
    <s v="Recordable"/>
    <s v="Nil (No Injury)"/>
    <x v="3"/>
    <s v="Day"/>
    <n v="27"/>
    <s v="Overcast"/>
    <x v="0"/>
    <s v="David Torres"/>
    <s v="Open"/>
    <s v="Complete"/>
    <n v="11"/>
    <n v="43265"/>
    <n v="1"/>
    <n v="0"/>
    <n v="0"/>
    <n v="1"/>
    <d v="2022-05-01T00:00:00"/>
    <s v="Katherine Processing Site|2022-05"/>
  </r>
  <r>
    <s v="INC-0473"/>
    <d v="2023-08-28T00:00:00"/>
    <x v="0"/>
    <n v="8"/>
    <s v="August"/>
    <s v="Q3"/>
    <x v="1"/>
    <s v="Processing"/>
    <x v="4"/>
    <s v="Non-Recordable"/>
    <s v="Nil (No Injury)"/>
    <x v="3"/>
    <s v="Night"/>
    <n v="0"/>
    <s v="Clear"/>
    <x v="0"/>
    <s v="Jo Smith"/>
    <s v="Closed"/>
    <s v="Complete"/>
    <n v="11"/>
    <n v="87571"/>
    <n v="0"/>
    <n v="0"/>
    <n v="0"/>
    <n v="0"/>
    <d v="2023-08-01T00:00:00"/>
    <s v="Darwin Port Facility|2023-08"/>
  </r>
  <r>
    <s v="INC-0474"/>
    <d v="2022-03-29T00:00:00"/>
    <x v="1"/>
    <n v="3"/>
    <s v="March"/>
    <s v="Q1"/>
    <x v="4"/>
    <s v="Administration"/>
    <x v="5"/>
    <s v="Non-Recordable"/>
    <s v="Nil (No Injury)"/>
    <x v="9"/>
    <s v="Afternoon"/>
    <n v="0"/>
    <s v="Clear"/>
    <x v="1"/>
    <s v="Priya Nair"/>
    <s v="Open"/>
    <s v="Complete"/>
    <n v="9"/>
    <n v="83934"/>
    <n v="0"/>
    <n v="0"/>
    <n v="0"/>
    <n v="0"/>
    <d v="2022-03-01T00:00:00"/>
    <s v="Katherine Processing Site|2022-03"/>
  </r>
  <r>
    <s v="INC-0475"/>
    <d v="2023-08-03T00:00:00"/>
    <x v="0"/>
    <n v="8"/>
    <s v="August"/>
    <s v="Q3"/>
    <x v="1"/>
    <s v="Maintenance"/>
    <x v="2"/>
    <s v="Non-Recordable"/>
    <s v="Nil (No Injury)"/>
    <x v="6"/>
    <s v="Day"/>
    <n v="0"/>
    <s v="Overcast"/>
    <x v="0"/>
    <s v="David Torres"/>
    <s v="Closed"/>
    <s v="Complete"/>
    <n v="11"/>
    <n v="77851"/>
    <n v="0"/>
    <n v="0"/>
    <n v="0"/>
    <n v="0"/>
    <d v="2023-08-01T00:00:00"/>
    <s v="Darwin Port Facility|2023-08"/>
  </r>
  <r>
    <s v="INC-0476"/>
    <d v="2023-10-04T00:00:00"/>
    <x v="0"/>
    <n v="10"/>
    <s v="October"/>
    <s v="Q4"/>
    <x v="0"/>
    <s v="Maintenance"/>
    <x v="1"/>
    <s v="Non-Recordable"/>
    <s v="Eye"/>
    <x v="1"/>
    <s v="Afternoon"/>
    <n v="0"/>
    <s v="Overcast"/>
    <x v="2"/>
    <s v="Jo Smith"/>
    <s v="Open"/>
    <s v="Overdue"/>
    <n v="11"/>
    <n v="111237"/>
    <n v="0"/>
    <n v="0"/>
    <n v="0"/>
    <n v="0"/>
    <d v="2023-10-01T00:00:00"/>
    <s v="Thunderbird Mine|2023-10"/>
  </r>
  <r>
    <s v="INC-0477"/>
    <d v="2024-04-06T00:00:00"/>
    <x v="2"/>
    <n v="4"/>
    <s v="April"/>
    <s v="Q2"/>
    <x v="3"/>
    <s v="Processing"/>
    <x v="0"/>
    <s v="Non-Recordable"/>
    <s v="Nil (No Injury)"/>
    <x v="8"/>
    <s v="Day"/>
    <n v="0"/>
    <s v="Extreme Heat"/>
    <x v="1"/>
    <s v="David Torres"/>
    <s v="Open"/>
    <s v="Overdue"/>
    <n v="8"/>
    <n v="118802"/>
    <n v="0"/>
    <n v="0"/>
    <n v="0"/>
    <n v="0"/>
    <d v="2024-04-01T00:00:00"/>
    <s v="Broome Logistics Hub|2024-04"/>
  </r>
  <r>
    <s v="INC-0478"/>
    <d v="2022-09-08T00:00:00"/>
    <x v="1"/>
    <n v="9"/>
    <s v="September"/>
    <s v="Q3"/>
    <x v="2"/>
    <s v="Construction"/>
    <x v="5"/>
    <s v="Non-Recordable"/>
    <s v="Nil (No Injury)"/>
    <x v="9"/>
    <s v="Day"/>
    <n v="0"/>
    <s v="Clear"/>
    <x v="0"/>
    <s v="Mark Daniels"/>
    <s v="Closed"/>
    <s v="Complete"/>
    <n v="8"/>
    <n v="59054"/>
    <n v="0"/>
    <n v="0"/>
    <n v="0"/>
    <n v="0"/>
    <d v="2022-09-01T00:00:00"/>
    <s v="Pilbara Crusher Plant|2022-09"/>
  </r>
  <r>
    <s v="INC-0479"/>
    <d v="2024-05-24T00:00:00"/>
    <x v="2"/>
    <n v="5"/>
    <s v="May"/>
    <s v="Q2"/>
    <x v="3"/>
    <s v="Construction"/>
    <x v="0"/>
    <s v="Non-Recordable"/>
    <s v="Nil (No Injury)"/>
    <x v="0"/>
    <s v="Night"/>
    <n v="0"/>
    <s v="Clear"/>
    <x v="0"/>
    <s v="Jo Smith"/>
    <s v="Open"/>
    <s v="Complete"/>
    <n v="9"/>
    <n v="77274"/>
    <n v="0"/>
    <n v="0"/>
    <n v="0"/>
    <n v="0"/>
    <d v="2024-05-01T00:00:00"/>
    <s v="Broome Logistics Hub|2024-05"/>
  </r>
  <r>
    <s v="INC-0480"/>
    <d v="2023-12-10T00:00:00"/>
    <x v="0"/>
    <n v="12"/>
    <s v="December"/>
    <s v="Q4"/>
    <x v="3"/>
    <s v="Construction"/>
    <x v="4"/>
    <s v="Non-Recordable"/>
    <s v="Nil (No Injury)"/>
    <x v="9"/>
    <s v="Day"/>
    <n v="0"/>
    <s v="Rain"/>
    <x v="2"/>
    <s v="Jo Smith"/>
    <s v="Closed"/>
    <s v="Complete"/>
    <n v="10"/>
    <n v="88309"/>
    <n v="0"/>
    <n v="0"/>
    <n v="0"/>
    <n v="0"/>
    <d v="2023-12-01T00:00:00"/>
    <s v="Broome Logistics Hub|2023-12"/>
  </r>
  <r>
    <s v="INC-0481"/>
    <d v="2023-01-24T00:00:00"/>
    <x v="0"/>
    <n v="1"/>
    <s v="January"/>
    <s v="Q1"/>
    <x v="0"/>
    <s v="Processing"/>
    <x v="2"/>
    <s v="Non-Recordable"/>
    <s v="Nil (No Injury)"/>
    <x v="9"/>
    <s v="Day"/>
    <n v="0"/>
    <s v="Clear"/>
    <x v="1"/>
    <s v="Mark Daniels"/>
    <s v="Closed"/>
    <s v="Complete"/>
    <n v="10"/>
    <n v="109081"/>
    <n v="0"/>
    <n v="0"/>
    <n v="0"/>
    <n v="0"/>
    <d v="2023-01-01T00:00:00"/>
    <s v="Thunderbird Mine|2023-01"/>
  </r>
  <r>
    <s v="INC-0482"/>
    <d v="2023-02-28T00:00:00"/>
    <x v="0"/>
    <n v="2"/>
    <s v="February"/>
    <s v="Q1"/>
    <x v="1"/>
    <s v="Administration"/>
    <x v="5"/>
    <s v="Non-Recordable"/>
    <s v="Nil (No Injury)"/>
    <x v="8"/>
    <s v="Afternoon"/>
    <n v="0"/>
    <s v="Clear"/>
    <x v="0"/>
    <s v="Priya Nair"/>
    <s v="In Progress"/>
    <s v="Complete"/>
    <n v="11"/>
    <n v="119269"/>
    <n v="0"/>
    <n v="0"/>
    <n v="0"/>
    <n v="0"/>
    <d v="2023-02-01T00:00:00"/>
    <s v="Darwin Port Facility|2023-02"/>
  </r>
  <r>
    <s v="INC-0483"/>
    <d v="2024-03-18T00:00:00"/>
    <x v="2"/>
    <n v="3"/>
    <s v="March"/>
    <s v="Q1"/>
    <x v="2"/>
    <s v="Processing"/>
    <x v="4"/>
    <s v="Non-Recordable"/>
    <s v="Nil (No Injury)"/>
    <x v="7"/>
    <s v="Night"/>
    <n v="0"/>
    <s v="Clear"/>
    <x v="2"/>
    <s v="Mark Daniels"/>
    <s v="In Progress"/>
    <s v="Pending"/>
    <n v="11"/>
    <n v="108118"/>
    <n v="0"/>
    <n v="0"/>
    <n v="0"/>
    <n v="0"/>
    <d v="2024-03-01T00:00:00"/>
    <s v="Pilbara Crusher Plant|2024-03"/>
  </r>
  <r>
    <s v="INC-0484"/>
    <d v="2024-01-17T00:00:00"/>
    <x v="2"/>
    <n v="1"/>
    <s v="January"/>
    <s v="Q1"/>
    <x v="4"/>
    <s v="Processing"/>
    <x v="4"/>
    <s v="Non-Recordable"/>
    <s v="Nil (No Injury)"/>
    <x v="6"/>
    <s v="Afternoon"/>
    <n v="0"/>
    <s v="Clear"/>
    <x v="2"/>
    <s v="Mark Daniels"/>
    <s v="Closed"/>
    <s v="Complete"/>
    <n v="8"/>
    <n v="100933"/>
    <n v="0"/>
    <n v="0"/>
    <n v="0"/>
    <n v="0"/>
    <d v="2024-01-01T00:00:00"/>
    <s v="Katherine Processing Site|2024-01"/>
  </r>
  <r>
    <s v="INC-0485"/>
    <d v="2023-10-03T00:00:00"/>
    <x v="0"/>
    <n v="10"/>
    <s v="October"/>
    <s v="Q4"/>
    <x v="0"/>
    <s v="Administration"/>
    <x v="2"/>
    <s v="Non-Recordable"/>
    <s v="Nil (No Injury)"/>
    <x v="8"/>
    <s v="Afternoon"/>
    <n v="0"/>
    <s v="Rain"/>
    <x v="1"/>
    <s v="Jo Smith"/>
    <s v="Closed"/>
    <s v="Complete"/>
    <n v="12"/>
    <n v="67831"/>
    <n v="0"/>
    <n v="0"/>
    <n v="0"/>
    <n v="0"/>
    <d v="2023-10-01T00:00:00"/>
    <s v="Thunderbird Mine|2023-10"/>
  </r>
  <r>
    <s v="INC-0486"/>
    <d v="2022-01-12T00:00:00"/>
    <x v="1"/>
    <n v="1"/>
    <s v="January"/>
    <s v="Q1"/>
    <x v="1"/>
    <s v="Administration"/>
    <x v="4"/>
    <s v="Non-Recordable"/>
    <s v="Nil (No Injury)"/>
    <x v="0"/>
    <s v="Night"/>
    <n v="0"/>
    <s v="Overcast"/>
    <x v="0"/>
    <s v="Sarah Chen"/>
    <s v="Closed"/>
    <s v="Pending"/>
    <n v="12"/>
    <n v="82457"/>
    <n v="0"/>
    <n v="0"/>
    <n v="0"/>
    <n v="0"/>
    <d v="2022-01-01T00:00:00"/>
    <s v="Darwin Port Facility|2022-01"/>
  </r>
  <r>
    <s v="INC-0487"/>
    <d v="2024-02-25T00:00:00"/>
    <x v="2"/>
    <n v="2"/>
    <s v="February"/>
    <s v="Q1"/>
    <x v="0"/>
    <s v="Administration"/>
    <x v="0"/>
    <s v="Non-Recordable"/>
    <s v="Nil (No Injury)"/>
    <x v="4"/>
    <s v="Night"/>
    <n v="0"/>
    <s v="Rain"/>
    <x v="0"/>
    <s v="Mark Daniels"/>
    <s v="Closed"/>
    <s v="Complete"/>
    <n v="10"/>
    <n v="102797"/>
    <n v="0"/>
    <n v="0"/>
    <n v="1"/>
    <n v="0"/>
    <d v="2024-02-01T00:00:00"/>
    <s v="Thunderbird Mine|2024-02"/>
  </r>
  <r>
    <s v="INC-0488"/>
    <d v="2024-03-27T00:00:00"/>
    <x v="2"/>
    <n v="3"/>
    <s v="March"/>
    <s v="Q1"/>
    <x v="1"/>
    <s v="Processing"/>
    <x v="0"/>
    <s v="Non-Recordable"/>
    <s v="Nil (No Injury)"/>
    <x v="6"/>
    <s v="Afternoon"/>
    <n v="0"/>
    <s v="Rain"/>
    <x v="2"/>
    <s v="David Torres"/>
    <s v="Open"/>
    <s v="Complete"/>
    <n v="12"/>
    <n v="79235"/>
    <n v="0"/>
    <n v="0"/>
    <n v="0"/>
    <n v="0"/>
    <d v="2024-03-01T00:00:00"/>
    <s v="Darwin Port Facility|2024-03"/>
  </r>
  <r>
    <s v="INC-0489"/>
    <d v="2023-11-26T00:00:00"/>
    <x v="0"/>
    <n v="11"/>
    <s v="November"/>
    <s v="Q4"/>
    <x v="3"/>
    <s v="Construction"/>
    <x v="3"/>
    <s v="Recordable"/>
    <s v="Hand/Fingers"/>
    <x v="8"/>
    <s v="Afternoon"/>
    <n v="0"/>
    <s v="Wind"/>
    <x v="2"/>
    <s v="Sarah Chen"/>
    <s v="Closed"/>
    <s v="Complete"/>
    <n v="10"/>
    <n v="44085"/>
    <n v="1"/>
    <n v="0"/>
    <n v="0"/>
    <n v="0"/>
    <d v="2023-11-01T00:00:00"/>
    <s v="Broome Logistics Hub|2023-11"/>
  </r>
  <r>
    <s v="INC-0490"/>
    <d v="2022-12-14T00:00:00"/>
    <x v="1"/>
    <n v="12"/>
    <s v="December"/>
    <s v="Q4"/>
    <x v="3"/>
    <s v="Maintenance"/>
    <x v="6"/>
    <s v="Recordable"/>
    <s v="Nil (No Injury)"/>
    <x v="7"/>
    <s v="Night"/>
    <n v="21"/>
    <s v="Clear"/>
    <x v="0"/>
    <s v="Sarah Chen"/>
    <s v="Closed"/>
    <s v="Complete"/>
    <n v="10"/>
    <n v="94246"/>
    <n v="1"/>
    <n v="0"/>
    <n v="0"/>
    <n v="1"/>
    <d v="2022-12-01T00:00:00"/>
    <s v="Broome Logistics Hub|2022-12"/>
  </r>
  <r>
    <s v="INC-0491"/>
    <d v="2024-06-17T00:00:00"/>
    <x v="2"/>
    <n v="6"/>
    <s v="June"/>
    <s v="Q2"/>
    <x v="2"/>
    <s v="Processing"/>
    <x v="1"/>
    <s v="Non-Recordable"/>
    <s v="Head"/>
    <x v="8"/>
    <s v="Afternoon"/>
    <n v="0"/>
    <s v="Clear"/>
    <x v="0"/>
    <s v="Jo Smith"/>
    <s v="Closed"/>
    <s v="Complete"/>
    <n v="9"/>
    <n v="52137"/>
    <n v="0"/>
    <n v="0"/>
    <n v="0"/>
    <n v="0"/>
    <d v="2024-06-01T00:00:00"/>
    <s v="Pilbara Crusher Plant|2024-06"/>
  </r>
  <r>
    <s v="INC-0492"/>
    <d v="2023-03-31T00:00:00"/>
    <x v="0"/>
    <n v="3"/>
    <s v="March"/>
    <s v="Q1"/>
    <x v="0"/>
    <s v="Processing"/>
    <x v="5"/>
    <s v="Non-Recordable"/>
    <s v="Nil (No Injury)"/>
    <x v="9"/>
    <s v="Day"/>
    <n v="0"/>
    <s v="Clear"/>
    <x v="2"/>
    <s v="David Torres"/>
    <s v="In Progress"/>
    <s v="Complete"/>
    <n v="10"/>
    <n v="58781"/>
    <n v="0"/>
    <n v="0"/>
    <n v="0"/>
    <n v="0"/>
    <d v="2023-03-01T00:00:00"/>
    <s v="Thunderbird Mine|2023-03"/>
  </r>
  <r>
    <s v="INC-0493"/>
    <d v="2024-02-27T00:00:00"/>
    <x v="2"/>
    <n v="2"/>
    <s v="February"/>
    <s v="Q1"/>
    <x v="0"/>
    <s v="Construction"/>
    <x v="2"/>
    <s v="Non-Recordable"/>
    <s v="Nil (No Injury)"/>
    <x v="6"/>
    <s v="Day"/>
    <n v="0"/>
    <s v="Wind"/>
    <x v="0"/>
    <s v="David Torres"/>
    <s v="Open"/>
    <s v="Pending"/>
    <n v="8"/>
    <n v="40538"/>
    <n v="0"/>
    <n v="0"/>
    <n v="0"/>
    <n v="0"/>
    <d v="2024-02-01T00:00:00"/>
    <s v="Thunderbird Mine|2024-02"/>
  </r>
  <r>
    <s v="INC-0494"/>
    <d v="2022-11-15T00:00:00"/>
    <x v="1"/>
    <n v="11"/>
    <s v="November"/>
    <s v="Q4"/>
    <x v="3"/>
    <s v="Mining Operations"/>
    <x v="0"/>
    <s v="Non-Recordable"/>
    <s v="Nil (No Injury)"/>
    <x v="4"/>
    <s v="Night"/>
    <n v="0"/>
    <s v="Clear"/>
    <x v="0"/>
    <s v="Priya Nair"/>
    <s v="Closed"/>
    <s v="Complete"/>
    <n v="12"/>
    <n v="80913"/>
    <n v="0"/>
    <n v="0"/>
    <n v="0"/>
    <n v="0"/>
    <d v="2022-11-01T00:00:00"/>
    <s v="Broome Logistics Hub|2022-11"/>
  </r>
  <r>
    <s v="INC-0495"/>
    <d v="2022-08-03T00:00:00"/>
    <x v="1"/>
    <n v="8"/>
    <s v="August"/>
    <s v="Q3"/>
    <x v="1"/>
    <s v="Maintenance"/>
    <x v="3"/>
    <s v="Recordable"/>
    <s v="Head"/>
    <x v="0"/>
    <s v="Afternoon"/>
    <n v="0"/>
    <s v="Clear"/>
    <x v="1"/>
    <s v="Jo Smith"/>
    <s v="Closed"/>
    <s v="Complete"/>
    <n v="9"/>
    <n v="75866"/>
    <n v="1"/>
    <n v="0"/>
    <n v="0"/>
    <n v="0"/>
    <d v="2022-08-01T00:00:00"/>
    <s v="Darwin Port Facility|2022-08"/>
  </r>
  <r>
    <s v="INC-0496"/>
    <d v="2022-04-28T00:00:00"/>
    <x v="1"/>
    <n v="4"/>
    <s v="April"/>
    <s v="Q2"/>
    <x v="3"/>
    <s v="Construction"/>
    <x v="0"/>
    <s v="Non-Recordable"/>
    <s v="Nil (No Injury)"/>
    <x v="9"/>
    <s v="Day"/>
    <n v="0"/>
    <s v="Clear"/>
    <x v="2"/>
    <s v="Priya Nair"/>
    <s v="Closed"/>
    <s v="Complete"/>
    <n v="9"/>
    <n v="77128"/>
    <n v="0"/>
    <n v="0"/>
    <n v="0"/>
    <n v="0"/>
    <d v="2022-04-01T00:00:00"/>
    <s v="Broome Logistics Hub|2022-04"/>
  </r>
  <r>
    <s v="INC-0497"/>
    <d v="2022-06-25T00:00:00"/>
    <x v="1"/>
    <n v="6"/>
    <s v="June"/>
    <s v="Q2"/>
    <x v="2"/>
    <s v="Construction"/>
    <x v="0"/>
    <s v="Non-Recordable"/>
    <s v="Nil (No Injury)"/>
    <x v="4"/>
    <s v="Afternoon"/>
    <n v="0"/>
    <s v="Rain"/>
    <x v="0"/>
    <s v="Mark Daniels"/>
    <s v="Closed"/>
    <s v="Overdue"/>
    <n v="8"/>
    <n v="53884"/>
    <n v="0"/>
    <n v="0"/>
    <n v="0"/>
    <n v="0"/>
    <d v="2022-06-01T00:00:00"/>
    <s v="Pilbara Crusher Plant|2022-06"/>
  </r>
  <r>
    <s v="INC-0498"/>
    <d v="2022-03-30T00:00:00"/>
    <x v="1"/>
    <n v="3"/>
    <s v="March"/>
    <s v="Q1"/>
    <x v="1"/>
    <s v="Administration"/>
    <x v="6"/>
    <s v="Recordable"/>
    <s v="Nil (No Injury)"/>
    <x v="7"/>
    <s v="Afternoon"/>
    <n v="13"/>
    <s v="Overcast"/>
    <x v="1"/>
    <s v="Priya Nair"/>
    <s v="Closed"/>
    <s v="Complete"/>
    <n v="10"/>
    <n v="65971"/>
    <n v="1"/>
    <n v="0"/>
    <n v="1"/>
    <n v="1"/>
    <d v="2022-03-01T00:00:00"/>
    <s v="Darwin Port Facility|2022-03"/>
  </r>
  <r>
    <s v="INC-0499"/>
    <d v="2023-11-18T00:00:00"/>
    <x v="0"/>
    <n v="11"/>
    <s v="November"/>
    <s v="Q4"/>
    <x v="3"/>
    <s v="Mining Operations"/>
    <x v="2"/>
    <s v="Non-Recordable"/>
    <s v="Nil (No Injury)"/>
    <x v="5"/>
    <s v="Afternoon"/>
    <n v="0"/>
    <s v="Clear"/>
    <x v="0"/>
    <s v="David Torres"/>
    <s v="Closed"/>
    <s v="Overdue"/>
    <n v="10"/>
    <n v="101000"/>
    <n v="0"/>
    <n v="0"/>
    <n v="0"/>
    <n v="0"/>
    <d v="2023-11-01T00:00:00"/>
    <s v="Broome Logistics Hub|2023-11"/>
  </r>
  <r>
    <s v="INC-0500"/>
    <d v="2023-04-27T00:00:00"/>
    <x v="0"/>
    <n v="4"/>
    <s v="April"/>
    <s v="Q2"/>
    <x v="1"/>
    <s v="Maintenance"/>
    <x v="1"/>
    <s v="Non-Recordable"/>
    <s v="Nil (No Injury)"/>
    <x v="0"/>
    <s v="Night"/>
    <n v="0"/>
    <s v="Rain"/>
    <x v="0"/>
    <s v="Sarah Chen"/>
    <s v="Closed"/>
    <s v="Overdue"/>
    <n v="11"/>
    <n v="43966"/>
    <n v="0"/>
    <n v="0"/>
    <n v="0"/>
    <n v="0"/>
    <d v="2023-04-01T00:00:00"/>
    <s v="Darwin Port Facility|2023-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E64D0D-868C-45BA-90B5-5CE2D8E3F149}"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D35" firstHeaderRow="0" firstDataRow="1" firstDataCol="1"/>
  <pivotFields count="27">
    <pivotField dataField="1" showAll="0"/>
    <pivotField numFmtId="14" showAll="0"/>
    <pivotField showAll="0">
      <items count="4">
        <item x="1"/>
        <item x="0"/>
        <item x="2"/>
        <item t="default"/>
      </items>
    </pivotField>
    <pivotField showAll="0"/>
    <pivotField showAll="0"/>
    <pivotField showAll="0"/>
    <pivotField showAll="0">
      <items count="6">
        <item x="3"/>
        <item x="1"/>
        <item x="4"/>
        <item x="2"/>
        <item x="0"/>
        <item t="default"/>
      </items>
    </pivotField>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dataField="1" showAll="0"/>
    <pivotField showAll="0"/>
    <pivotField showAll="0"/>
    <pivotField dataField="1" showAll="0"/>
    <pivotField numFmtId="14" showAll="0"/>
    <pivotField showAll="0"/>
  </pivotFields>
  <rowFields count="1">
    <field x="15"/>
  </rowFields>
  <rowItems count="4">
    <i>
      <x/>
    </i>
    <i>
      <x v="1"/>
    </i>
    <i>
      <x v="2"/>
    </i>
    <i t="grand">
      <x/>
    </i>
  </rowItems>
  <colFields count="1">
    <field x="-2"/>
  </colFields>
  <colItems count="3">
    <i>
      <x/>
    </i>
    <i i="1">
      <x v="1"/>
    </i>
    <i i="2">
      <x v="2"/>
    </i>
  </colItems>
  <dataFields count="3">
    <dataField name="Count of Incident_ID" fld="0" subtotal="count" baseField="0" baseItem="0"/>
    <dataField name="Sum of TRIFR_Contribution" fld="21" baseField="0" baseItem="0"/>
    <dataField name="Sum of LTI_Flag"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E7892-EAA3-42BF-8814-294C92DB1EB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27" firstHeaderRow="0" firstDataRow="1" firstDataCol="1"/>
  <pivotFields count="27">
    <pivotField dataField="1" showAll="0"/>
    <pivotField numFmtId="14" showAll="0"/>
    <pivotField showAll="0">
      <items count="4">
        <item x="1"/>
        <item x="0"/>
        <item x="2"/>
        <item t="default"/>
      </items>
    </pivotField>
    <pivotField showAll="0"/>
    <pivotField showAll="0"/>
    <pivotField showAll="0"/>
    <pivotField showAll="0">
      <items count="6">
        <item x="3"/>
        <item x="1"/>
        <item x="4"/>
        <item x="2"/>
        <item x="0"/>
        <item t="default"/>
      </items>
    </pivotField>
    <pivotField showAll="0"/>
    <pivotField showAll="0"/>
    <pivotField showAll="0"/>
    <pivotField showAll="0"/>
    <pivotField axis="axisRow" showAll="0" sortType="descending">
      <items count="11">
        <item x="8"/>
        <item x="0"/>
        <item x="5"/>
        <item x="9"/>
        <item x="3"/>
        <item x="7"/>
        <item x="6"/>
        <item x="1"/>
        <item x="2"/>
        <item x="4"/>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s>
  <rowFields count="1">
    <field x="11"/>
  </rowFields>
  <rowItems count="11">
    <i>
      <x v="9"/>
    </i>
    <i>
      <x v="1"/>
    </i>
    <i>
      <x v="4"/>
    </i>
    <i>
      <x v="2"/>
    </i>
    <i>
      <x v="7"/>
    </i>
    <i>
      <x v="8"/>
    </i>
    <i>
      <x v="3"/>
    </i>
    <i>
      <x/>
    </i>
    <i>
      <x v="5"/>
    </i>
    <i>
      <x v="6"/>
    </i>
    <i t="grand">
      <x/>
    </i>
  </rowItems>
  <colFields count="1">
    <field x="-2"/>
  </colFields>
  <colItems count="2">
    <i>
      <x/>
    </i>
    <i i="1">
      <x v="1"/>
    </i>
  </colItems>
  <dataFields count="2">
    <dataField name="Count of Incident_ID" fld="0" subtotal="count" baseField="0" baseItem="0"/>
    <dataField name="Sum of Lost_Time_Day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34394F-0145-4521-9B04-F170D27845AB}"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12" firstHeaderRow="1" firstDataRow="2" firstDataCol="1"/>
  <pivotFields count="27">
    <pivotField dataField="1" showAll="0"/>
    <pivotField numFmtId="14" showAll="0"/>
    <pivotField showAll="0">
      <items count="4">
        <item x="1"/>
        <item x="0"/>
        <item x="2"/>
        <item t="default"/>
      </items>
    </pivotField>
    <pivotField showAll="0"/>
    <pivotField showAll="0"/>
    <pivotField showAll="0"/>
    <pivotField axis="axisCol" showAll="0">
      <items count="6">
        <item x="3"/>
        <item x="1"/>
        <item x="4"/>
        <item x="2"/>
        <item x="0"/>
        <item t="default"/>
      </items>
    </pivotField>
    <pivotField showAll="0"/>
    <pivotField axis="axisRow" showAll="0">
      <items count="8">
        <item x="4"/>
        <item x="1"/>
        <item x="2"/>
        <item x="6"/>
        <item x="3"/>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s>
  <rowFields count="1">
    <field x="8"/>
  </rowFields>
  <rowItems count="8">
    <i>
      <x/>
    </i>
    <i>
      <x v="1"/>
    </i>
    <i>
      <x v="2"/>
    </i>
    <i>
      <x v="3"/>
    </i>
    <i>
      <x v="4"/>
    </i>
    <i>
      <x v="5"/>
    </i>
    <i>
      <x v="6"/>
    </i>
    <i t="grand">
      <x/>
    </i>
  </rowItems>
  <colFields count="1">
    <field x="6"/>
  </colFields>
  <colItems count="6">
    <i>
      <x/>
    </i>
    <i>
      <x v="1"/>
    </i>
    <i>
      <x v="2"/>
    </i>
    <i>
      <x v="3"/>
    </i>
    <i>
      <x v="4"/>
    </i>
    <i t="grand">
      <x/>
    </i>
  </colItems>
  <dataFields count="1">
    <dataField name="Count of Incident_ID" fld="0" subtotal="count"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3" format="10" series="1">
      <pivotArea type="data" outline="0" fieldPosition="0">
        <references count="2">
          <reference field="4294967294" count="1" selected="0">
            <x v="0"/>
          </reference>
          <reference field="6" count="1" selected="0">
            <x v="0"/>
          </reference>
        </references>
      </pivotArea>
    </chartFormat>
    <chartFormat chart="3" format="11" series="1">
      <pivotArea type="data" outline="0" fieldPosition="0">
        <references count="2">
          <reference field="4294967294" count="1" selected="0">
            <x v="0"/>
          </reference>
          <reference field="6" count="1" selected="0">
            <x v="1"/>
          </reference>
        </references>
      </pivotArea>
    </chartFormat>
    <chartFormat chart="3" format="12" series="1">
      <pivotArea type="data" outline="0" fieldPosition="0">
        <references count="2">
          <reference field="4294967294" count="1" selected="0">
            <x v="0"/>
          </reference>
          <reference field="6" count="1" selected="0">
            <x v="2"/>
          </reference>
        </references>
      </pivotArea>
    </chartFormat>
    <chartFormat chart="3" format="13" series="1">
      <pivotArea type="data" outline="0" fieldPosition="0">
        <references count="2">
          <reference field="4294967294" count="1" selected="0">
            <x v="0"/>
          </reference>
          <reference field="6" count="1" selected="0">
            <x v="3"/>
          </reference>
        </references>
      </pivotArea>
    </chartFormat>
    <chartFormat chart="3"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B2366C-8933-4D36-B268-F3D92119D70A}" autoFormatId="16" applyNumberFormats="0" applyBorderFormats="0" applyFontFormats="0" applyPatternFormats="0" applyAlignmentFormats="0" applyWidthHeightFormats="0">
  <queryTableRefresh nextId="29" unboundColumnsRight="3">
    <queryTableFields count="27">
      <queryTableField id="1" name="Incident_ID" tableColumnId="1"/>
      <queryTableField id="2" name="Date" tableColumnId="2"/>
      <queryTableField id="3" name="Year" tableColumnId="3"/>
      <queryTableField id="4" name="Month" tableColumnId="4"/>
      <queryTableField id="5" name="Month_Name" tableColumnId="5"/>
      <queryTableField id="6" name="Quarter" tableColumnId="6"/>
      <queryTableField id="7" name="Site" tableColumnId="7"/>
      <queryTableField id="8" name="Department" tableColumnId="8"/>
      <queryTableField id="9" name="Incident_Type" tableColumnId="9"/>
      <queryTableField id="10" name="Classification" tableColumnId="10"/>
      <queryTableField id="11" name="Body_Part_Affected" tableColumnId="11"/>
      <queryTableField id="12" name="Primary_Cause" tableColumnId="12"/>
      <queryTableField id="13" name="Shift" tableColumnId="13"/>
      <queryTableField id="14" name="Lost_Time_Days" tableColumnId="14"/>
      <queryTableField id="15" name="Weather_Conditions" tableColumnId="15"/>
      <queryTableField id="16" name="Employment_Type" tableColumnId="16"/>
      <queryTableField id="17" name="Investigator" tableColumnId="17"/>
      <queryTableField id="18" name="Investigation_Status" tableColumnId="18"/>
      <queryTableField id="19" name="Corrective_Action_Status" tableColumnId="19"/>
      <queryTableField id="20" name="Hours_Worked_That_Day" tableColumnId="20"/>
      <queryTableField id="21" name="Total_Site_Hours_Month" tableColumnId="21"/>
      <queryTableField id="22" name="TRIFR_Contribution" tableColumnId="22"/>
      <queryTableField id="23" name="Fatality" tableColumnId="23"/>
      <queryTableField id="24" name="High_Potential_Incident" tableColumnId="24"/>
      <queryTableField id="25" dataBound="0" tableColumnId="25"/>
      <queryTableField id="26" dataBound="0" tableColumnId="26"/>
      <queryTableField id="27"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62FCB5B-C287-499D-A543-8502CB33803B}" sourceName="Year">
  <pivotTables>
    <pivotTable tabId="5" name="PivotTable1"/>
    <pivotTable tabId="5" name="PivotTable2"/>
    <pivotTable tabId="5" name="PivotTable3"/>
  </pivotTables>
  <data>
    <tabular pivotCacheId="196667518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 xr10:uid="{79E38A36-9E3F-4F48-A1C9-4E4018A268CF}" sourceName="Site">
  <pivotTables>
    <pivotTable tabId="5" name="PivotTable1"/>
    <pivotTable tabId="5" name="PivotTable2"/>
    <pivotTable tabId="5" name="PivotTable3"/>
  </pivotTables>
  <data>
    <tabular pivotCacheId="1966675186">
      <items count="5">
        <i x="3" s="1"/>
        <i x="1"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34023BA-C4F2-4218-B026-0217391E7699}" cache="Slicer_Year" caption="Year" rowHeight="251883"/>
  <slicer name="Site" xr10:uid="{BA3D8DB0-8146-4458-A62D-9FA9107C8EED}" cache="Slicer_Site" caption="Si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BB26C9-F746-43EA-80ED-EC2DE9173C05}" name="tbl_Incidents" displayName="tbl_Incidents" ref="A1:AA501" tableType="queryTable" totalsRowShown="0">
  <autoFilter ref="A1:AA501" xr:uid="{02BB26C9-F746-43EA-80ED-EC2DE9173C05}"/>
  <tableColumns count="27">
    <tableColumn id="1" xr3:uid="{BDD89F19-1D62-4890-9DB5-9F6EFC632F48}" uniqueName="1" name="Incident_ID" queryTableFieldId="1" dataDxfId="46"/>
    <tableColumn id="2" xr3:uid="{14A7279F-0DA0-47C1-9CFF-3DA2FD348595}" uniqueName="2" name="Date" queryTableFieldId="2" dataDxfId="45"/>
    <tableColumn id="3" xr3:uid="{0106D064-45B1-4998-A3CD-D4638528BD4F}" uniqueName="3" name="Year" queryTableFieldId="3"/>
    <tableColumn id="4" xr3:uid="{61BCF423-ED0A-4409-9408-71A273E7CE79}" uniqueName="4" name="Month" queryTableFieldId="4"/>
    <tableColumn id="5" xr3:uid="{F5E278A6-8910-49A3-97B2-7D827DEA6586}" uniqueName="5" name="Month_Name" queryTableFieldId="5" dataDxfId="44"/>
    <tableColumn id="6" xr3:uid="{5642EBA9-AD8B-4F5A-886D-5A08A0216AD5}" uniqueName="6" name="Quarter" queryTableFieldId="6" dataDxfId="43"/>
    <tableColumn id="7" xr3:uid="{4FE07E5B-F188-406B-BAC5-E2FD0EBBF777}" uniqueName="7" name="Site" queryTableFieldId="7" dataDxfId="42"/>
    <tableColumn id="8" xr3:uid="{A061E680-7CD9-4412-9473-C662AF06383E}" uniqueName="8" name="Department" queryTableFieldId="8" dataDxfId="41"/>
    <tableColumn id="9" xr3:uid="{0E6BB30B-D7DC-4EC0-B0BB-BCF7DA68D60F}" uniqueName="9" name="Incident_Type" queryTableFieldId="9" dataDxfId="40"/>
    <tableColumn id="10" xr3:uid="{E281D62D-4696-419B-8DD1-80B535DF7513}" uniqueName="10" name="Classification" queryTableFieldId="10" dataDxfId="39"/>
    <tableColumn id="11" xr3:uid="{CA3941CA-A16D-4D96-915D-BE1BE38B8C7A}" uniqueName="11" name="Body_Part_Affected" queryTableFieldId="11" dataDxfId="38"/>
    <tableColumn id="12" xr3:uid="{B9AEBE34-4D89-4F45-84D5-21AB7B7FD3DC}" uniqueName="12" name="Primary_Cause" queryTableFieldId="12" dataDxfId="37"/>
    <tableColumn id="13" xr3:uid="{1A988387-84E7-476E-A16D-FF575A8C3B90}" uniqueName="13" name="Shift" queryTableFieldId="13" dataDxfId="36"/>
    <tableColumn id="14" xr3:uid="{88AC3FF4-64C9-4486-BD99-6D12BE963E8D}" uniqueName="14" name="Lost_Time_Days" queryTableFieldId="14"/>
    <tableColumn id="15" xr3:uid="{B71B0C38-042E-46CB-B68D-1C7C75517D57}" uniqueName="15" name="Weather_Conditions" queryTableFieldId="15" dataDxfId="35"/>
    <tableColumn id="16" xr3:uid="{FF8448D7-94E4-4540-A0CE-C8F26BDB823B}" uniqueName="16" name="Employment_Type" queryTableFieldId="16" dataDxfId="34"/>
    <tableColumn id="17" xr3:uid="{A7633E5B-8E6C-4956-AD85-443A9EFF8F75}" uniqueName="17" name="Investigator" queryTableFieldId="17" dataDxfId="33"/>
    <tableColumn id="18" xr3:uid="{93ED410D-E95D-4780-AA4B-C6531777AFEC}" uniqueName="18" name="Investigation_Status" queryTableFieldId="18" dataDxfId="32"/>
    <tableColumn id="19" xr3:uid="{9F77C551-BAE4-4C85-A368-3411F50B9CA4}" uniqueName="19" name="Corrective_Action_Status" queryTableFieldId="19" dataDxfId="31"/>
    <tableColumn id="20" xr3:uid="{3EEF5A0A-7CC0-43CD-BE4B-A2B6DC2C5F9B}" uniqueName="20" name="Hours_Worked_That_Day" queryTableFieldId="20"/>
    <tableColumn id="21" xr3:uid="{86ABA537-32A4-4BC1-9936-ECAAEBB1EA06}" uniqueName="21" name="Total_Site_Hours_Month" queryTableFieldId="21"/>
    <tableColumn id="22" xr3:uid="{4401C6A8-B4F8-4CC8-B3F0-4E82CC30E0E2}" uniqueName="22" name="TRIFR_Contribution" queryTableFieldId="22"/>
    <tableColumn id="23" xr3:uid="{BDAE8C02-1046-4830-AE42-5F2BF0A066D9}" uniqueName="23" name="Fatality" queryTableFieldId="23"/>
    <tableColumn id="24" xr3:uid="{E8B039BF-C99E-4D17-A119-1CFE9A5D6130}" uniqueName="24" name="High_Potential_Incident" queryTableFieldId="24"/>
    <tableColumn id="25" xr3:uid="{395D2C2E-591F-41AB-AEDD-A78A2C84A207}" uniqueName="25" name="LTI_Flag" queryTableFieldId="25" dataDxfId="30">
      <calculatedColumnFormula>IF(tbl_Incidents[[#This Row],[Lost_Time_Days]]&gt;0, 1, 0)</calculatedColumnFormula>
    </tableColumn>
    <tableColumn id="26" xr3:uid="{D458AE28-93E6-4708-9795-C01946EB4F7F}" uniqueName="26" name="Month_Key" queryTableFieldId="26" dataDxfId="29">
      <calculatedColumnFormula>DATE(tbl_Incidents[[#This Row],[Year]], tbl_Incidents[[#This Row],[Month]], 1)</calculatedColumnFormula>
    </tableColumn>
    <tableColumn id="27" xr3:uid="{77A03EFD-FC59-4399-9508-84D0F0F6A1EA}" uniqueName="27" name="Site_Month_Key" queryTableFieldId="27" dataDxfId="28">
      <calculatedColumnFormula>G2&amp;"|"&amp;TEXT(Z2,"yyyy-mm")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4183-A63C-42CB-A0DF-87BC94874812}">
  <dimension ref="A1:AA501"/>
  <sheetViews>
    <sheetView topLeftCell="A2" workbookViewId="0">
      <selection activeCell="S8" sqref="S8"/>
    </sheetView>
  </sheetViews>
  <sheetFormatPr defaultRowHeight="14.5" x14ac:dyDescent="0.35"/>
  <cols>
    <col min="1" max="1" width="13.08984375" bestFit="1" customWidth="1"/>
    <col min="2" max="2" width="10.08984375" bestFit="1" customWidth="1"/>
    <col min="3" max="3" width="7.08984375" bestFit="1" customWidth="1"/>
    <col min="5" max="5" width="14.54296875" bestFit="1" customWidth="1"/>
    <col min="6" max="6" width="9.81640625" bestFit="1" customWidth="1"/>
    <col min="7" max="7" width="22.453125" bestFit="1" customWidth="1"/>
    <col min="8" max="8" width="16.7265625" bestFit="1" customWidth="1"/>
    <col min="9" max="9" width="17.81640625" bestFit="1" customWidth="1"/>
    <col min="10" max="10" width="15.26953125" bestFit="1" customWidth="1"/>
    <col min="11" max="11" width="20.1796875" bestFit="1" customWidth="1"/>
    <col min="12" max="12" width="25.453125" bestFit="1" customWidth="1"/>
    <col min="13" max="13" width="9.08984375" bestFit="1" customWidth="1"/>
    <col min="14" max="14" width="17.1796875" bestFit="1" customWidth="1"/>
    <col min="15" max="15" width="21.26953125" bestFit="1" customWidth="1"/>
    <col min="16" max="16" width="19.36328125" bestFit="1" customWidth="1"/>
    <col min="17" max="17" width="13.453125" bestFit="1" customWidth="1"/>
    <col min="18" max="18" width="21" bestFit="1" customWidth="1"/>
    <col min="19" max="19" width="25.36328125" bestFit="1" customWidth="1"/>
    <col min="20" max="20" width="24.90625" bestFit="1" customWidth="1"/>
    <col min="21" max="21" width="24.36328125" bestFit="1" customWidth="1"/>
    <col min="22" max="22" width="20.26953125" bestFit="1" customWidth="1"/>
    <col min="23" max="23" width="9.54296875" bestFit="1" customWidth="1"/>
    <col min="24" max="24" width="24.08984375" bestFit="1" customWidth="1"/>
    <col min="25" max="26" width="12.453125" customWidth="1"/>
    <col min="27" max="27" width="32" customWidth="1"/>
    <col min="28" max="28" width="10.81640625"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600</v>
      </c>
      <c r="Z1" t="s">
        <v>601</v>
      </c>
      <c r="AA1" t="s">
        <v>602</v>
      </c>
    </row>
    <row r="2" spans="1:27" x14ac:dyDescent="0.35">
      <c r="A2" t="s">
        <v>24</v>
      </c>
      <c r="B2" s="1">
        <v>45216</v>
      </c>
      <c r="C2">
        <v>2023</v>
      </c>
      <c r="D2">
        <v>10</v>
      </c>
      <c r="E2" t="s">
        <v>25</v>
      </c>
      <c r="F2" t="s">
        <v>26</v>
      </c>
      <c r="G2" t="s">
        <v>27</v>
      </c>
      <c r="H2" t="s">
        <v>28</v>
      </c>
      <c r="I2" t="s">
        <v>29</v>
      </c>
      <c r="J2" t="s">
        <v>30</v>
      </c>
      <c r="K2" t="s">
        <v>31</v>
      </c>
      <c r="L2" t="s">
        <v>32</v>
      </c>
      <c r="M2" t="s">
        <v>33</v>
      </c>
      <c r="N2">
        <v>0</v>
      </c>
      <c r="O2" t="s">
        <v>34</v>
      </c>
      <c r="P2" t="s">
        <v>35</v>
      </c>
      <c r="Q2" t="s">
        <v>36</v>
      </c>
      <c r="R2" t="s">
        <v>37</v>
      </c>
      <c r="S2" t="s">
        <v>38</v>
      </c>
      <c r="T2">
        <v>12</v>
      </c>
      <c r="U2">
        <v>95302</v>
      </c>
      <c r="V2">
        <v>0</v>
      </c>
      <c r="W2">
        <v>0</v>
      </c>
      <c r="X2">
        <v>0</v>
      </c>
      <c r="Y2">
        <f>IF(tbl_Incidents[[#This Row],[Lost_Time_Days]]&gt;0, 1, 0)</f>
        <v>0</v>
      </c>
      <c r="Z2" s="1">
        <f>DATE(tbl_Incidents[[#This Row],[Year]], tbl_Incidents[[#This Row],[Month]], 1)</f>
        <v>45200</v>
      </c>
      <c r="AA2" t="str">
        <f t="shared" ref="AA2:AA65" si="0">G2&amp;"|"&amp;TEXT(Z2,"yyyy-mm")</f>
        <v>Thunderbird Mine|2023-10</v>
      </c>
    </row>
    <row r="3" spans="1:27" x14ac:dyDescent="0.35">
      <c r="A3" t="s">
        <v>39</v>
      </c>
      <c r="B3" s="1">
        <v>44657</v>
      </c>
      <c r="C3">
        <v>2022</v>
      </c>
      <c r="D3">
        <v>4</v>
      </c>
      <c r="E3" t="s">
        <v>40</v>
      </c>
      <c r="F3" t="s">
        <v>41</v>
      </c>
      <c r="G3" t="s">
        <v>42</v>
      </c>
      <c r="H3" t="s">
        <v>43</v>
      </c>
      <c r="I3" t="s">
        <v>44</v>
      </c>
      <c r="J3" t="s">
        <v>30</v>
      </c>
      <c r="K3" t="s">
        <v>31</v>
      </c>
      <c r="L3" t="s">
        <v>45</v>
      </c>
      <c r="M3" t="s">
        <v>46</v>
      </c>
      <c r="N3">
        <v>0</v>
      </c>
      <c r="O3" t="s">
        <v>34</v>
      </c>
      <c r="P3" t="s">
        <v>47</v>
      </c>
      <c r="Q3" t="s">
        <v>48</v>
      </c>
      <c r="R3" t="s">
        <v>49</v>
      </c>
      <c r="S3" t="s">
        <v>50</v>
      </c>
      <c r="T3">
        <v>10</v>
      </c>
      <c r="U3">
        <v>40851</v>
      </c>
      <c r="V3">
        <v>0</v>
      </c>
      <c r="W3">
        <v>0</v>
      </c>
      <c r="X3">
        <v>0</v>
      </c>
      <c r="Y3">
        <f>IF(tbl_Incidents[[#This Row],[Lost_Time_Days]]&gt;0, 1, 0)</f>
        <v>0</v>
      </c>
      <c r="Z3" s="1">
        <f>DATE(tbl_Incidents[[#This Row],[Year]], tbl_Incidents[[#This Row],[Month]], 1)</f>
        <v>44652</v>
      </c>
      <c r="AA3" t="str">
        <f t="shared" si="0"/>
        <v>Darwin Port Facility|2022-04</v>
      </c>
    </row>
    <row r="4" spans="1:27" x14ac:dyDescent="0.35">
      <c r="A4" t="s">
        <v>51</v>
      </c>
      <c r="B4" s="1">
        <v>45339</v>
      </c>
      <c r="C4">
        <v>2024</v>
      </c>
      <c r="D4">
        <v>2</v>
      </c>
      <c r="E4" t="s">
        <v>52</v>
      </c>
      <c r="F4" t="s">
        <v>53</v>
      </c>
      <c r="G4" t="s">
        <v>42</v>
      </c>
      <c r="H4" t="s">
        <v>28</v>
      </c>
      <c r="I4" t="s">
        <v>54</v>
      </c>
      <c r="J4" t="s">
        <v>30</v>
      </c>
      <c r="K4" t="s">
        <v>31</v>
      </c>
      <c r="L4" t="s">
        <v>55</v>
      </c>
      <c r="M4" t="s">
        <v>56</v>
      </c>
      <c r="N4">
        <v>0</v>
      </c>
      <c r="O4" t="s">
        <v>34</v>
      </c>
      <c r="P4" t="s">
        <v>35</v>
      </c>
      <c r="Q4" t="s">
        <v>48</v>
      </c>
      <c r="R4" t="s">
        <v>57</v>
      </c>
      <c r="S4" t="s">
        <v>38</v>
      </c>
      <c r="T4">
        <v>8</v>
      </c>
      <c r="U4">
        <v>89797</v>
      </c>
      <c r="V4">
        <v>0</v>
      </c>
      <c r="W4">
        <v>0</v>
      </c>
      <c r="X4">
        <v>0</v>
      </c>
      <c r="Y4">
        <f>IF(tbl_Incidents[[#This Row],[Lost_Time_Days]]&gt;0, 1, 0)</f>
        <v>0</v>
      </c>
      <c r="Z4" s="1">
        <f>DATE(tbl_Incidents[[#This Row],[Year]], tbl_Incidents[[#This Row],[Month]], 1)</f>
        <v>45323</v>
      </c>
      <c r="AA4" t="str">
        <f t="shared" si="0"/>
        <v>Darwin Port Facility|2024-02</v>
      </c>
    </row>
    <row r="5" spans="1:27" x14ac:dyDescent="0.35">
      <c r="A5" t="s">
        <v>58</v>
      </c>
      <c r="B5" s="1">
        <v>44661</v>
      </c>
      <c r="C5">
        <v>2022</v>
      </c>
      <c r="D5">
        <v>4</v>
      </c>
      <c r="E5" t="s">
        <v>40</v>
      </c>
      <c r="F5" t="s">
        <v>41</v>
      </c>
      <c r="G5" t="s">
        <v>59</v>
      </c>
      <c r="H5" t="s">
        <v>43</v>
      </c>
      <c r="I5" t="s">
        <v>60</v>
      </c>
      <c r="J5" t="s">
        <v>61</v>
      </c>
      <c r="K5" t="s">
        <v>62</v>
      </c>
      <c r="L5" t="s">
        <v>45</v>
      </c>
      <c r="M5" t="s">
        <v>46</v>
      </c>
      <c r="N5">
        <v>0</v>
      </c>
      <c r="O5" t="s">
        <v>63</v>
      </c>
      <c r="P5" t="s">
        <v>35</v>
      </c>
      <c r="Q5" t="s">
        <v>64</v>
      </c>
      <c r="R5" t="s">
        <v>57</v>
      </c>
      <c r="S5" t="s">
        <v>50</v>
      </c>
      <c r="T5">
        <v>10</v>
      </c>
      <c r="U5">
        <v>87400</v>
      </c>
      <c r="V5">
        <v>1</v>
      </c>
      <c r="W5">
        <v>0</v>
      </c>
      <c r="X5">
        <v>0</v>
      </c>
      <c r="Y5">
        <f>IF(tbl_Incidents[[#This Row],[Lost_Time_Days]]&gt;0, 1, 0)</f>
        <v>0</v>
      </c>
      <c r="Z5" s="1">
        <f>DATE(tbl_Incidents[[#This Row],[Year]], tbl_Incidents[[#This Row],[Month]], 1)</f>
        <v>44652</v>
      </c>
      <c r="AA5" t="str">
        <f t="shared" si="0"/>
        <v>Pilbara Crusher Plant|2022-04</v>
      </c>
    </row>
    <row r="6" spans="1:27" x14ac:dyDescent="0.35">
      <c r="A6" t="s">
        <v>65</v>
      </c>
      <c r="B6" s="1">
        <v>45153</v>
      </c>
      <c r="C6">
        <v>2023</v>
      </c>
      <c r="D6">
        <v>8</v>
      </c>
      <c r="E6" t="s">
        <v>66</v>
      </c>
      <c r="F6" t="s">
        <v>67</v>
      </c>
      <c r="G6" t="s">
        <v>27</v>
      </c>
      <c r="H6" t="s">
        <v>68</v>
      </c>
      <c r="I6" t="s">
        <v>44</v>
      </c>
      <c r="J6" t="s">
        <v>30</v>
      </c>
      <c r="K6" t="s">
        <v>69</v>
      </c>
      <c r="L6" t="s">
        <v>32</v>
      </c>
      <c r="M6" t="s">
        <v>33</v>
      </c>
      <c r="N6">
        <v>0</v>
      </c>
      <c r="O6" t="s">
        <v>70</v>
      </c>
      <c r="P6" t="s">
        <v>35</v>
      </c>
      <c r="Q6" t="s">
        <v>36</v>
      </c>
      <c r="R6" t="s">
        <v>49</v>
      </c>
      <c r="S6" t="s">
        <v>38</v>
      </c>
      <c r="T6">
        <v>11</v>
      </c>
      <c r="U6">
        <v>87819</v>
      </c>
      <c r="V6">
        <v>0</v>
      </c>
      <c r="W6">
        <v>0</v>
      </c>
      <c r="X6">
        <v>0</v>
      </c>
      <c r="Y6">
        <f>IF(tbl_Incidents[[#This Row],[Lost_Time_Days]]&gt;0, 1, 0)</f>
        <v>0</v>
      </c>
      <c r="Z6" s="1">
        <f>DATE(tbl_Incidents[[#This Row],[Year]], tbl_Incidents[[#This Row],[Month]], 1)</f>
        <v>45139</v>
      </c>
      <c r="AA6" t="str">
        <f t="shared" si="0"/>
        <v>Thunderbird Mine|2023-08</v>
      </c>
    </row>
    <row r="7" spans="1:27" x14ac:dyDescent="0.35">
      <c r="A7" t="s">
        <v>71</v>
      </c>
      <c r="B7" s="1">
        <v>44728</v>
      </c>
      <c r="C7">
        <v>2022</v>
      </c>
      <c r="D7">
        <v>6</v>
      </c>
      <c r="E7" t="s">
        <v>72</v>
      </c>
      <c r="F7" t="s">
        <v>41</v>
      </c>
      <c r="G7" t="s">
        <v>59</v>
      </c>
      <c r="H7" t="s">
        <v>73</v>
      </c>
      <c r="I7" t="s">
        <v>60</v>
      </c>
      <c r="J7" t="s">
        <v>61</v>
      </c>
      <c r="K7" t="s">
        <v>62</v>
      </c>
      <c r="L7" t="s">
        <v>74</v>
      </c>
      <c r="M7" t="s">
        <v>46</v>
      </c>
      <c r="N7">
        <v>0</v>
      </c>
      <c r="O7" t="s">
        <v>75</v>
      </c>
      <c r="P7" t="s">
        <v>35</v>
      </c>
      <c r="Q7" t="s">
        <v>76</v>
      </c>
      <c r="R7" t="s">
        <v>57</v>
      </c>
      <c r="S7" t="s">
        <v>38</v>
      </c>
      <c r="T7">
        <v>11</v>
      </c>
      <c r="U7">
        <v>89735</v>
      </c>
      <c r="V7">
        <v>1</v>
      </c>
      <c r="W7">
        <v>0</v>
      </c>
      <c r="X7">
        <v>0</v>
      </c>
      <c r="Y7">
        <f>IF(tbl_Incidents[[#This Row],[Lost_Time_Days]]&gt;0, 1, 0)</f>
        <v>0</v>
      </c>
      <c r="Z7" s="1">
        <f>DATE(tbl_Incidents[[#This Row],[Year]], tbl_Incidents[[#This Row],[Month]], 1)</f>
        <v>44713</v>
      </c>
      <c r="AA7" t="str">
        <f t="shared" si="0"/>
        <v>Pilbara Crusher Plant|2022-06</v>
      </c>
    </row>
    <row r="8" spans="1:27" x14ac:dyDescent="0.35">
      <c r="A8" t="s">
        <v>77</v>
      </c>
      <c r="B8" s="1">
        <v>44838</v>
      </c>
      <c r="C8">
        <v>2022</v>
      </c>
      <c r="D8">
        <v>10</v>
      </c>
      <c r="E8" t="s">
        <v>25</v>
      </c>
      <c r="F8" t="s">
        <v>26</v>
      </c>
      <c r="G8" t="s">
        <v>78</v>
      </c>
      <c r="H8" t="s">
        <v>73</v>
      </c>
      <c r="I8" t="s">
        <v>79</v>
      </c>
      <c r="J8" t="s">
        <v>30</v>
      </c>
      <c r="K8" t="s">
        <v>31</v>
      </c>
      <c r="L8" t="s">
        <v>80</v>
      </c>
      <c r="M8" t="s">
        <v>33</v>
      </c>
      <c r="N8">
        <v>0</v>
      </c>
      <c r="O8" t="s">
        <v>34</v>
      </c>
      <c r="P8" t="s">
        <v>35</v>
      </c>
      <c r="Q8" t="s">
        <v>81</v>
      </c>
      <c r="R8" t="s">
        <v>49</v>
      </c>
      <c r="S8" t="s">
        <v>38</v>
      </c>
      <c r="T8">
        <v>8</v>
      </c>
      <c r="U8">
        <v>67653</v>
      </c>
      <c r="V8">
        <v>0</v>
      </c>
      <c r="W8">
        <v>0</v>
      </c>
      <c r="X8">
        <v>0</v>
      </c>
      <c r="Y8">
        <f>IF(tbl_Incidents[[#This Row],[Lost_Time_Days]]&gt;0, 1, 0)</f>
        <v>0</v>
      </c>
      <c r="Z8" s="1">
        <f>DATE(tbl_Incidents[[#This Row],[Year]], tbl_Incidents[[#This Row],[Month]], 1)</f>
        <v>44835</v>
      </c>
      <c r="AA8" t="str">
        <f t="shared" si="0"/>
        <v>Broome Logistics Hub|2022-10</v>
      </c>
    </row>
    <row r="9" spans="1:27" x14ac:dyDescent="0.35">
      <c r="A9" t="s">
        <v>82</v>
      </c>
      <c r="B9" s="1">
        <v>45142</v>
      </c>
      <c r="C9">
        <v>2023</v>
      </c>
      <c r="D9">
        <v>8</v>
      </c>
      <c r="E9" t="s">
        <v>66</v>
      </c>
      <c r="F9" t="s">
        <v>67</v>
      </c>
      <c r="G9" t="s">
        <v>59</v>
      </c>
      <c r="H9" t="s">
        <v>73</v>
      </c>
      <c r="I9" t="s">
        <v>79</v>
      </c>
      <c r="J9" t="s">
        <v>30</v>
      </c>
      <c r="K9" t="s">
        <v>31</v>
      </c>
      <c r="L9" t="s">
        <v>83</v>
      </c>
      <c r="M9" t="s">
        <v>56</v>
      </c>
      <c r="N9">
        <v>0</v>
      </c>
      <c r="O9" t="s">
        <v>75</v>
      </c>
      <c r="P9" t="s">
        <v>47</v>
      </c>
      <c r="Q9" t="s">
        <v>48</v>
      </c>
      <c r="R9" t="s">
        <v>57</v>
      </c>
      <c r="S9" t="s">
        <v>38</v>
      </c>
      <c r="T9">
        <v>9</v>
      </c>
      <c r="U9">
        <v>113579</v>
      </c>
      <c r="V9">
        <v>0</v>
      </c>
      <c r="W9">
        <v>0</v>
      </c>
      <c r="X9">
        <v>0</v>
      </c>
      <c r="Y9">
        <f>IF(tbl_Incidents[[#This Row],[Lost_Time_Days]]&gt;0, 1, 0)</f>
        <v>0</v>
      </c>
      <c r="Z9" s="1">
        <f>DATE(tbl_Incidents[[#This Row],[Year]], tbl_Incidents[[#This Row],[Month]], 1)</f>
        <v>45139</v>
      </c>
      <c r="AA9" t="str">
        <f t="shared" si="0"/>
        <v>Pilbara Crusher Plant|2023-08</v>
      </c>
    </row>
    <row r="10" spans="1:27" x14ac:dyDescent="0.35">
      <c r="A10" t="s">
        <v>84</v>
      </c>
      <c r="B10" s="1">
        <v>45113</v>
      </c>
      <c r="C10">
        <v>2023</v>
      </c>
      <c r="D10">
        <v>7</v>
      </c>
      <c r="E10" t="s">
        <v>85</v>
      </c>
      <c r="F10" t="s">
        <v>67</v>
      </c>
      <c r="G10" t="s">
        <v>78</v>
      </c>
      <c r="H10" t="s">
        <v>86</v>
      </c>
      <c r="I10" t="s">
        <v>60</v>
      </c>
      <c r="J10" t="s">
        <v>61</v>
      </c>
      <c r="K10" t="s">
        <v>31</v>
      </c>
      <c r="L10" t="s">
        <v>55</v>
      </c>
      <c r="M10" t="s">
        <v>56</v>
      </c>
      <c r="N10">
        <v>0</v>
      </c>
      <c r="O10" t="s">
        <v>34</v>
      </c>
      <c r="P10" t="s">
        <v>35</v>
      </c>
      <c r="Q10" t="s">
        <v>76</v>
      </c>
      <c r="R10" t="s">
        <v>49</v>
      </c>
      <c r="S10" t="s">
        <v>38</v>
      </c>
      <c r="T10">
        <v>8</v>
      </c>
      <c r="U10">
        <v>54371</v>
      </c>
      <c r="V10">
        <v>1</v>
      </c>
      <c r="W10">
        <v>0</v>
      </c>
      <c r="X10">
        <v>0</v>
      </c>
      <c r="Y10">
        <f>IF(tbl_Incidents[[#This Row],[Lost_Time_Days]]&gt;0, 1, 0)</f>
        <v>0</v>
      </c>
      <c r="Z10" s="1">
        <f>DATE(tbl_Incidents[[#This Row],[Year]], tbl_Incidents[[#This Row],[Month]], 1)</f>
        <v>45108</v>
      </c>
      <c r="AA10" t="str">
        <f t="shared" si="0"/>
        <v>Broome Logistics Hub|2023-07</v>
      </c>
    </row>
    <row r="11" spans="1:27" x14ac:dyDescent="0.35">
      <c r="A11" t="s">
        <v>87</v>
      </c>
      <c r="B11" s="1">
        <v>44718</v>
      </c>
      <c r="C11">
        <v>2022</v>
      </c>
      <c r="D11">
        <v>6</v>
      </c>
      <c r="E11" t="s">
        <v>72</v>
      </c>
      <c r="F11" t="s">
        <v>41</v>
      </c>
      <c r="G11" t="s">
        <v>42</v>
      </c>
      <c r="H11" t="s">
        <v>28</v>
      </c>
      <c r="I11" t="s">
        <v>79</v>
      </c>
      <c r="J11" t="s">
        <v>30</v>
      </c>
      <c r="K11" t="s">
        <v>31</v>
      </c>
      <c r="L11" t="s">
        <v>55</v>
      </c>
      <c r="M11" t="s">
        <v>46</v>
      </c>
      <c r="N11">
        <v>0</v>
      </c>
      <c r="O11" t="s">
        <v>34</v>
      </c>
      <c r="P11" t="s">
        <v>47</v>
      </c>
      <c r="Q11" t="s">
        <v>64</v>
      </c>
      <c r="R11" t="s">
        <v>37</v>
      </c>
      <c r="S11" t="s">
        <v>88</v>
      </c>
      <c r="T11">
        <v>12</v>
      </c>
      <c r="U11">
        <v>72953</v>
      </c>
      <c r="V11">
        <v>0</v>
      </c>
      <c r="W11">
        <v>0</v>
      </c>
      <c r="X11">
        <v>0</v>
      </c>
      <c r="Y11">
        <f>IF(tbl_Incidents[[#This Row],[Lost_Time_Days]]&gt;0, 1, 0)</f>
        <v>0</v>
      </c>
      <c r="Z11" s="1">
        <f>DATE(tbl_Incidents[[#This Row],[Year]], tbl_Incidents[[#This Row],[Month]], 1)</f>
        <v>44713</v>
      </c>
      <c r="AA11" t="str">
        <f t="shared" si="0"/>
        <v>Darwin Port Facility|2022-06</v>
      </c>
    </row>
    <row r="12" spans="1:27" x14ac:dyDescent="0.35">
      <c r="A12" t="s">
        <v>89</v>
      </c>
      <c r="B12" s="1">
        <v>45128</v>
      </c>
      <c r="C12">
        <v>2023</v>
      </c>
      <c r="D12">
        <v>7</v>
      </c>
      <c r="E12" t="s">
        <v>85</v>
      </c>
      <c r="F12" t="s">
        <v>67</v>
      </c>
      <c r="G12" t="s">
        <v>27</v>
      </c>
      <c r="H12" t="s">
        <v>28</v>
      </c>
      <c r="I12" t="s">
        <v>54</v>
      </c>
      <c r="J12" t="s">
        <v>30</v>
      </c>
      <c r="K12" t="s">
        <v>31</v>
      </c>
      <c r="L12" t="s">
        <v>74</v>
      </c>
      <c r="M12" t="s">
        <v>46</v>
      </c>
      <c r="N12">
        <v>0</v>
      </c>
      <c r="O12" t="s">
        <v>90</v>
      </c>
      <c r="P12" t="s">
        <v>91</v>
      </c>
      <c r="Q12" t="s">
        <v>81</v>
      </c>
      <c r="R12" t="s">
        <v>57</v>
      </c>
      <c r="S12" t="s">
        <v>38</v>
      </c>
      <c r="T12">
        <v>11</v>
      </c>
      <c r="U12">
        <v>60730</v>
      </c>
      <c r="V12">
        <v>0</v>
      </c>
      <c r="W12">
        <v>0</v>
      </c>
      <c r="X12">
        <v>0</v>
      </c>
      <c r="Y12">
        <f>IF(tbl_Incidents[[#This Row],[Lost_Time_Days]]&gt;0, 1, 0)</f>
        <v>0</v>
      </c>
      <c r="Z12" s="1">
        <f>DATE(tbl_Incidents[[#This Row],[Year]], tbl_Incidents[[#This Row],[Month]], 1)</f>
        <v>45108</v>
      </c>
      <c r="AA12" t="str">
        <f t="shared" si="0"/>
        <v>Thunderbird Mine|2023-07</v>
      </c>
    </row>
    <row r="13" spans="1:27" x14ac:dyDescent="0.35">
      <c r="A13" t="s">
        <v>92</v>
      </c>
      <c r="B13" s="1">
        <v>45026</v>
      </c>
      <c r="C13">
        <v>2023</v>
      </c>
      <c r="D13">
        <v>4</v>
      </c>
      <c r="E13" t="s">
        <v>40</v>
      </c>
      <c r="F13" t="s">
        <v>41</v>
      </c>
      <c r="G13" t="s">
        <v>59</v>
      </c>
      <c r="H13" t="s">
        <v>43</v>
      </c>
      <c r="I13" t="s">
        <v>29</v>
      </c>
      <c r="J13" t="s">
        <v>30</v>
      </c>
      <c r="K13" t="s">
        <v>31</v>
      </c>
      <c r="L13" t="s">
        <v>93</v>
      </c>
      <c r="M13" t="s">
        <v>46</v>
      </c>
      <c r="N13">
        <v>0</v>
      </c>
      <c r="O13" t="s">
        <v>34</v>
      </c>
      <c r="P13" t="s">
        <v>91</v>
      </c>
      <c r="Q13" t="s">
        <v>76</v>
      </c>
      <c r="R13" t="s">
        <v>37</v>
      </c>
      <c r="S13" t="s">
        <v>38</v>
      </c>
      <c r="T13">
        <v>9</v>
      </c>
      <c r="U13">
        <v>89009</v>
      </c>
      <c r="V13">
        <v>0</v>
      </c>
      <c r="W13">
        <v>0</v>
      </c>
      <c r="X13">
        <v>1</v>
      </c>
      <c r="Y13">
        <f>IF(tbl_Incidents[[#This Row],[Lost_Time_Days]]&gt;0, 1, 0)</f>
        <v>0</v>
      </c>
      <c r="Z13" s="1">
        <f>DATE(tbl_Incidents[[#This Row],[Year]], tbl_Incidents[[#This Row],[Month]], 1)</f>
        <v>45017</v>
      </c>
      <c r="AA13" t="str">
        <f t="shared" si="0"/>
        <v>Pilbara Crusher Plant|2023-04</v>
      </c>
    </row>
    <row r="14" spans="1:27" x14ac:dyDescent="0.35">
      <c r="A14" t="s">
        <v>94</v>
      </c>
      <c r="B14" s="1">
        <v>45114</v>
      </c>
      <c r="C14">
        <v>2023</v>
      </c>
      <c r="D14">
        <v>7</v>
      </c>
      <c r="E14" t="s">
        <v>85</v>
      </c>
      <c r="F14" t="s">
        <v>67</v>
      </c>
      <c r="G14" t="s">
        <v>78</v>
      </c>
      <c r="H14" t="s">
        <v>68</v>
      </c>
      <c r="I14" t="s">
        <v>54</v>
      </c>
      <c r="J14" t="s">
        <v>30</v>
      </c>
      <c r="K14" t="s">
        <v>31</v>
      </c>
      <c r="L14" t="s">
        <v>95</v>
      </c>
      <c r="M14" t="s">
        <v>56</v>
      </c>
      <c r="N14">
        <v>0</v>
      </c>
      <c r="O14" t="s">
        <v>63</v>
      </c>
      <c r="P14" t="s">
        <v>35</v>
      </c>
      <c r="Q14" t="s">
        <v>36</v>
      </c>
      <c r="R14" t="s">
        <v>57</v>
      </c>
      <c r="S14" t="s">
        <v>38</v>
      </c>
      <c r="T14">
        <v>9</v>
      </c>
      <c r="U14">
        <v>47592</v>
      </c>
      <c r="V14">
        <v>0</v>
      </c>
      <c r="W14">
        <v>0</v>
      </c>
      <c r="X14">
        <v>0</v>
      </c>
      <c r="Y14">
        <f>IF(tbl_Incidents[[#This Row],[Lost_Time_Days]]&gt;0, 1, 0)</f>
        <v>0</v>
      </c>
      <c r="Z14" s="1">
        <f>DATE(tbl_Incidents[[#This Row],[Year]], tbl_Incidents[[#This Row],[Month]], 1)</f>
        <v>45108</v>
      </c>
      <c r="AA14" t="str">
        <f t="shared" si="0"/>
        <v>Broome Logistics Hub|2023-07</v>
      </c>
    </row>
    <row r="15" spans="1:27" x14ac:dyDescent="0.35">
      <c r="A15" t="s">
        <v>96</v>
      </c>
      <c r="B15" s="1">
        <v>44808</v>
      </c>
      <c r="C15">
        <v>2022</v>
      </c>
      <c r="D15">
        <v>9</v>
      </c>
      <c r="E15" t="s">
        <v>97</v>
      </c>
      <c r="F15" t="s">
        <v>67</v>
      </c>
      <c r="G15" t="s">
        <v>27</v>
      </c>
      <c r="H15" t="s">
        <v>68</v>
      </c>
      <c r="I15" t="s">
        <v>98</v>
      </c>
      <c r="J15" t="s">
        <v>30</v>
      </c>
      <c r="K15" t="s">
        <v>31</v>
      </c>
      <c r="L15" t="s">
        <v>83</v>
      </c>
      <c r="M15" t="s">
        <v>33</v>
      </c>
      <c r="N15">
        <v>0</v>
      </c>
      <c r="O15" t="s">
        <v>70</v>
      </c>
      <c r="P15" t="s">
        <v>35</v>
      </c>
      <c r="Q15" t="s">
        <v>48</v>
      </c>
      <c r="R15" t="s">
        <v>49</v>
      </c>
      <c r="S15" t="s">
        <v>50</v>
      </c>
      <c r="T15">
        <v>9</v>
      </c>
      <c r="U15">
        <v>74741</v>
      </c>
      <c r="V15">
        <v>0</v>
      </c>
      <c r="W15">
        <v>0</v>
      </c>
      <c r="X15">
        <v>0</v>
      </c>
      <c r="Y15">
        <f>IF(tbl_Incidents[[#This Row],[Lost_Time_Days]]&gt;0, 1, 0)</f>
        <v>0</v>
      </c>
      <c r="Z15" s="1">
        <f>DATE(tbl_Incidents[[#This Row],[Year]], tbl_Incidents[[#This Row],[Month]], 1)</f>
        <v>44805</v>
      </c>
      <c r="AA15" t="str">
        <f t="shared" si="0"/>
        <v>Thunderbird Mine|2022-09</v>
      </c>
    </row>
    <row r="16" spans="1:27" x14ac:dyDescent="0.35">
      <c r="A16" t="s">
        <v>99</v>
      </c>
      <c r="B16" s="1">
        <v>45102</v>
      </c>
      <c r="C16">
        <v>2023</v>
      </c>
      <c r="D16">
        <v>6</v>
      </c>
      <c r="E16" t="s">
        <v>72</v>
      </c>
      <c r="F16" t="s">
        <v>41</v>
      </c>
      <c r="G16" t="s">
        <v>78</v>
      </c>
      <c r="H16" t="s">
        <v>86</v>
      </c>
      <c r="I16" t="s">
        <v>54</v>
      </c>
      <c r="J16" t="s">
        <v>30</v>
      </c>
      <c r="K16" t="s">
        <v>31</v>
      </c>
      <c r="L16" t="s">
        <v>100</v>
      </c>
      <c r="M16" t="s">
        <v>46</v>
      </c>
      <c r="N16">
        <v>0</v>
      </c>
      <c r="O16" t="s">
        <v>70</v>
      </c>
      <c r="P16" t="s">
        <v>35</v>
      </c>
      <c r="Q16" t="s">
        <v>81</v>
      </c>
      <c r="R16" t="s">
        <v>49</v>
      </c>
      <c r="S16" t="s">
        <v>38</v>
      </c>
      <c r="T16">
        <v>11</v>
      </c>
      <c r="U16">
        <v>107839</v>
      </c>
      <c r="V16">
        <v>0</v>
      </c>
      <c r="W16">
        <v>0</v>
      </c>
      <c r="X16">
        <v>0</v>
      </c>
      <c r="Y16">
        <f>IF(tbl_Incidents[[#This Row],[Lost_Time_Days]]&gt;0, 1, 0)</f>
        <v>0</v>
      </c>
      <c r="Z16" s="1">
        <f>DATE(tbl_Incidents[[#This Row],[Year]], tbl_Incidents[[#This Row],[Month]], 1)</f>
        <v>45078</v>
      </c>
      <c r="AA16" t="str">
        <f t="shared" si="0"/>
        <v>Broome Logistics Hub|2023-06</v>
      </c>
    </row>
    <row r="17" spans="1:27" x14ac:dyDescent="0.35">
      <c r="A17" t="s">
        <v>101</v>
      </c>
      <c r="B17" s="1">
        <v>45024</v>
      </c>
      <c r="C17">
        <v>2023</v>
      </c>
      <c r="D17">
        <v>4</v>
      </c>
      <c r="E17" t="s">
        <v>40</v>
      </c>
      <c r="F17" t="s">
        <v>41</v>
      </c>
      <c r="G17" t="s">
        <v>42</v>
      </c>
      <c r="H17" t="s">
        <v>73</v>
      </c>
      <c r="I17" t="s">
        <v>29</v>
      </c>
      <c r="J17" t="s">
        <v>30</v>
      </c>
      <c r="K17" t="s">
        <v>31</v>
      </c>
      <c r="L17" t="s">
        <v>74</v>
      </c>
      <c r="M17" t="s">
        <v>56</v>
      </c>
      <c r="N17">
        <v>0</v>
      </c>
      <c r="O17" t="s">
        <v>34</v>
      </c>
      <c r="P17" t="s">
        <v>35</v>
      </c>
      <c r="Q17" t="s">
        <v>76</v>
      </c>
      <c r="R17" t="s">
        <v>57</v>
      </c>
      <c r="S17" t="s">
        <v>38</v>
      </c>
      <c r="T17">
        <v>8</v>
      </c>
      <c r="U17">
        <v>47716</v>
      </c>
      <c r="V17">
        <v>0</v>
      </c>
      <c r="W17">
        <v>0</v>
      </c>
      <c r="X17">
        <v>0</v>
      </c>
      <c r="Y17">
        <f>IF(tbl_Incidents[[#This Row],[Lost_Time_Days]]&gt;0, 1, 0)</f>
        <v>0</v>
      </c>
      <c r="Z17" s="1">
        <f>DATE(tbl_Incidents[[#This Row],[Year]], tbl_Incidents[[#This Row],[Month]], 1)</f>
        <v>45017</v>
      </c>
      <c r="AA17" t="str">
        <f t="shared" si="0"/>
        <v>Darwin Port Facility|2023-04</v>
      </c>
    </row>
    <row r="18" spans="1:27" x14ac:dyDescent="0.35">
      <c r="A18" t="s">
        <v>102</v>
      </c>
      <c r="B18" s="1">
        <v>44594</v>
      </c>
      <c r="C18">
        <v>2022</v>
      </c>
      <c r="D18">
        <v>2</v>
      </c>
      <c r="E18" t="s">
        <v>52</v>
      </c>
      <c r="F18" t="s">
        <v>53</v>
      </c>
      <c r="G18" t="s">
        <v>59</v>
      </c>
      <c r="H18" t="s">
        <v>68</v>
      </c>
      <c r="I18" t="s">
        <v>54</v>
      </c>
      <c r="J18" t="s">
        <v>30</v>
      </c>
      <c r="K18" t="s">
        <v>31</v>
      </c>
      <c r="L18" t="s">
        <v>103</v>
      </c>
      <c r="M18" t="s">
        <v>33</v>
      </c>
      <c r="N18">
        <v>0</v>
      </c>
      <c r="O18" t="s">
        <v>34</v>
      </c>
      <c r="P18" t="s">
        <v>47</v>
      </c>
      <c r="Q18" t="s">
        <v>48</v>
      </c>
      <c r="R18" t="s">
        <v>37</v>
      </c>
      <c r="S18" t="s">
        <v>38</v>
      </c>
      <c r="T18">
        <v>12</v>
      </c>
      <c r="U18">
        <v>115525</v>
      </c>
      <c r="V18">
        <v>0</v>
      </c>
      <c r="W18">
        <v>0</v>
      </c>
      <c r="X18">
        <v>0</v>
      </c>
      <c r="Y18">
        <f>IF(tbl_Incidents[[#This Row],[Lost_Time_Days]]&gt;0, 1, 0)</f>
        <v>0</v>
      </c>
      <c r="Z18" s="1">
        <f>DATE(tbl_Incidents[[#This Row],[Year]], tbl_Incidents[[#This Row],[Month]], 1)</f>
        <v>44593</v>
      </c>
      <c r="AA18" t="str">
        <f t="shared" si="0"/>
        <v>Pilbara Crusher Plant|2022-02</v>
      </c>
    </row>
    <row r="19" spans="1:27" x14ac:dyDescent="0.35">
      <c r="A19" t="s">
        <v>104</v>
      </c>
      <c r="B19" s="1">
        <v>45046</v>
      </c>
      <c r="C19">
        <v>2023</v>
      </c>
      <c r="D19">
        <v>4</v>
      </c>
      <c r="E19" t="s">
        <v>40</v>
      </c>
      <c r="F19" t="s">
        <v>41</v>
      </c>
      <c r="G19" t="s">
        <v>105</v>
      </c>
      <c r="H19" t="s">
        <v>86</v>
      </c>
      <c r="I19" t="s">
        <v>44</v>
      </c>
      <c r="J19" t="s">
        <v>30</v>
      </c>
      <c r="K19" t="s">
        <v>69</v>
      </c>
      <c r="L19" t="s">
        <v>74</v>
      </c>
      <c r="M19" t="s">
        <v>33</v>
      </c>
      <c r="N19">
        <v>0</v>
      </c>
      <c r="O19" t="s">
        <v>75</v>
      </c>
      <c r="P19" t="s">
        <v>47</v>
      </c>
      <c r="Q19" t="s">
        <v>81</v>
      </c>
      <c r="R19" t="s">
        <v>49</v>
      </c>
      <c r="S19" t="s">
        <v>88</v>
      </c>
      <c r="T19">
        <v>11</v>
      </c>
      <c r="U19">
        <v>47100</v>
      </c>
      <c r="V19">
        <v>0</v>
      </c>
      <c r="W19">
        <v>0</v>
      </c>
      <c r="X19">
        <v>0</v>
      </c>
      <c r="Y19">
        <f>IF(tbl_Incidents[[#This Row],[Lost_Time_Days]]&gt;0, 1, 0)</f>
        <v>0</v>
      </c>
      <c r="Z19" s="1">
        <f>DATE(tbl_Incidents[[#This Row],[Year]], tbl_Incidents[[#This Row],[Month]], 1)</f>
        <v>45017</v>
      </c>
      <c r="AA19" t="str">
        <f t="shared" si="0"/>
        <v>Katherine Processing Site|2023-04</v>
      </c>
    </row>
    <row r="20" spans="1:27" x14ac:dyDescent="0.35">
      <c r="A20" t="s">
        <v>106</v>
      </c>
      <c r="B20" s="1">
        <v>45251</v>
      </c>
      <c r="C20">
        <v>2023</v>
      </c>
      <c r="D20">
        <v>11</v>
      </c>
      <c r="E20" t="s">
        <v>107</v>
      </c>
      <c r="F20" t="s">
        <v>26</v>
      </c>
      <c r="G20" t="s">
        <v>27</v>
      </c>
      <c r="H20" t="s">
        <v>68</v>
      </c>
      <c r="I20" t="s">
        <v>79</v>
      </c>
      <c r="J20" t="s">
        <v>30</v>
      </c>
      <c r="K20" t="s">
        <v>31</v>
      </c>
      <c r="L20" t="s">
        <v>55</v>
      </c>
      <c r="M20" t="s">
        <v>46</v>
      </c>
      <c r="N20">
        <v>0</v>
      </c>
      <c r="O20" t="s">
        <v>34</v>
      </c>
      <c r="P20" t="s">
        <v>35</v>
      </c>
      <c r="Q20" t="s">
        <v>48</v>
      </c>
      <c r="R20" t="s">
        <v>57</v>
      </c>
      <c r="S20" t="s">
        <v>38</v>
      </c>
      <c r="T20">
        <v>12</v>
      </c>
      <c r="U20">
        <v>98800</v>
      </c>
      <c r="V20">
        <v>0</v>
      </c>
      <c r="W20">
        <v>0</v>
      </c>
      <c r="X20">
        <v>0</v>
      </c>
      <c r="Y20">
        <f>IF(tbl_Incidents[[#This Row],[Lost_Time_Days]]&gt;0, 1, 0)</f>
        <v>0</v>
      </c>
      <c r="Z20" s="1">
        <f>DATE(tbl_Incidents[[#This Row],[Year]], tbl_Incidents[[#This Row],[Month]], 1)</f>
        <v>45231</v>
      </c>
      <c r="AA20" t="str">
        <f t="shared" si="0"/>
        <v>Thunderbird Mine|2023-11</v>
      </c>
    </row>
    <row r="21" spans="1:27" x14ac:dyDescent="0.35">
      <c r="A21" t="s">
        <v>108</v>
      </c>
      <c r="B21" s="1">
        <v>44705</v>
      </c>
      <c r="C21">
        <v>2022</v>
      </c>
      <c r="D21">
        <v>5</v>
      </c>
      <c r="E21" t="s">
        <v>109</v>
      </c>
      <c r="F21" t="s">
        <v>41</v>
      </c>
      <c r="G21" t="s">
        <v>59</v>
      </c>
      <c r="H21" t="s">
        <v>86</v>
      </c>
      <c r="I21" t="s">
        <v>110</v>
      </c>
      <c r="J21" t="s">
        <v>61</v>
      </c>
      <c r="K21" t="s">
        <v>69</v>
      </c>
      <c r="L21" t="s">
        <v>74</v>
      </c>
      <c r="M21" t="s">
        <v>56</v>
      </c>
      <c r="N21">
        <v>6</v>
      </c>
      <c r="O21" t="s">
        <v>70</v>
      </c>
      <c r="P21" t="s">
        <v>35</v>
      </c>
      <c r="Q21" t="s">
        <v>36</v>
      </c>
      <c r="R21" t="s">
        <v>37</v>
      </c>
      <c r="S21" t="s">
        <v>38</v>
      </c>
      <c r="T21">
        <v>8</v>
      </c>
      <c r="U21">
        <v>70982</v>
      </c>
      <c r="V21">
        <v>1</v>
      </c>
      <c r="W21">
        <v>0</v>
      </c>
      <c r="X21">
        <v>0</v>
      </c>
      <c r="Y21">
        <f>IF(tbl_Incidents[[#This Row],[Lost_Time_Days]]&gt;0, 1, 0)</f>
        <v>1</v>
      </c>
      <c r="Z21" s="1">
        <f>DATE(tbl_Incidents[[#This Row],[Year]], tbl_Incidents[[#This Row],[Month]], 1)</f>
        <v>44682</v>
      </c>
      <c r="AA21" t="str">
        <f t="shared" si="0"/>
        <v>Pilbara Crusher Plant|2022-05</v>
      </c>
    </row>
    <row r="22" spans="1:27" x14ac:dyDescent="0.35">
      <c r="A22" t="s">
        <v>111</v>
      </c>
      <c r="B22" s="1">
        <v>45059</v>
      </c>
      <c r="C22">
        <v>2023</v>
      </c>
      <c r="D22">
        <v>5</v>
      </c>
      <c r="E22" t="s">
        <v>109</v>
      </c>
      <c r="F22" t="s">
        <v>41</v>
      </c>
      <c r="G22" t="s">
        <v>105</v>
      </c>
      <c r="H22" t="s">
        <v>68</v>
      </c>
      <c r="I22" t="s">
        <v>110</v>
      </c>
      <c r="J22" t="s">
        <v>61</v>
      </c>
      <c r="K22" t="s">
        <v>112</v>
      </c>
      <c r="L22" t="s">
        <v>55</v>
      </c>
      <c r="M22" t="s">
        <v>33</v>
      </c>
      <c r="N22">
        <v>7</v>
      </c>
      <c r="O22" t="s">
        <v>63</v>
      </c>
      <c r="P22" t="s">
        <v>91</v>
      </c>
      <c r="Q22" t="s">
        <v>64</v>
      </c>
      <c r="R22" t="s">
        <v>57</v>
      </c>
      <c r="S22" t="s">
        <v>88</v>
      </c>
      <c r="T22">
        <v>12</v>
      </c>
      <c r="U22">
        <v>103788</v>
      </c>
      <c r="V22">
        <v>1</v>
      </c>
      <c r="W22">
        <v>0</v>
      </c>
      <c r="X22">
        <v>0</v>
      </c>
      <c r="Y22">
        <f>IF(tbl_Incidents[[#This Row],[Lost_Time_Days]]&gt;0, 1, 0)</f>
        <v>1</v>
      </c>
      <c r="Z22" s="1">
        <f>DATE(tbl_Incidents[[#This Row],[Year]], tbl_Incidents[[#This Row],[Month]], 1)</f>
        <v>45047</v>
      </c>
      <c r="AA22" t="str">
        <f t="shared" si="0"/>
        <v>Katherine Processing Site|2023-05</v>
      </c>
    </row>
    <row r="23" spans="1:27" x14ac:dyDescent="0.35">
      <c r="A23" t="s">
        <v>113</v>
      </c>
      <c r="B23" s="1">
        <v>44865</v>
      </c>
      <c r="C23">
        <v>2022</v>
      </c>
      <c r="D23">
        <v>10</v>
      </c>
      <c r="E23" t="s">
        <v>25</v>
      </c>
      <c r="F23" t="s">
        <v>26</v>
      </c>
      <c r="G23" t="s">
        <v>27</v>
      </c>
      <c r="H23" t="s">
        <v>43</v>
      </c>
      <c r="I23" t="s">
        <v>44</v>
      </c>
      <c r="J23" t="s">
        <v>30</v>
      </c>
      <c r="K23" t="s">
        <v>31</v>
      </c>
      <c r="L23" t="s">
        <v>45</v>
      </c>
      <c r="M23" t="s">
        <v>46</v>
      </c>
      <c r="N23">
        <v>0</v>
      </c>
      <c r="O23" t="s">
        <v>34</v>
      </c>
      <c r="P23" t="s">
        <v>35</v>
      </c>
      <c r="Q23" t="s">
        <v>36</v>
      </c>
      <c r="R23" t="s">
        <v>37</v>
      </c>
      <c r="S23" t="s">
        <v>88</v>
      </c>
      <c r="T23">
        <v>12</v>
      </c>
      <c r="U23">
        <v>109615</v>
      </c>
      <c r="V23">
        <v>0</v>
      </c>
      <c r="W23">
        <v>0</v>
      </c>
      <c r="X23">
        <v>0</v>
      </c>
      <c r="Y23">
        <f>IF(tbl_Incidents[[#This Row],[Lost_Time_Days]]&gt;0, 1, 0)</f>
        <v>0</v>
      </c>
      <c r="Z23" s="1">
        <f>DATE(tbl_Incidents[[#This Row],[Year]], tbl_Incidents[[#This Row],[Month]], 1)</f>
        <v>44835</v>
      </c>
      <c r="AA23" t="str">
        <f t="shared" si="0"/>
        <v>Thunderbird Mine|2022-10</v>
      </c>
    </row>
    <row r="24" spans="1:27" x14ac:dyDescent="0.35">
      <c r="A24" t="s">
        <v>114</v>
      </c>
      <c r="B24" s="1">
        <v>44723</v>
      </c>
      <c r="C24">
        <v>2022</v>
      </c>
      <c r="D24">
        <v>6</v>
      </c>
      <c r="E24" t="s">
        <v>72</v>
      </c>
      <c r="F24" t="s">
        <v>41</v>
      </c>
      <c r="G24" t="s">
        <v>78</v>
      </c>
      <c r="H24" t="s">
        <v>68</v>
      </c>
      <c r="I24" t="s">
        <v>29</v>
      </c>
      <c r="J24" t="s">
        <v>30</v>
      </c>
      <c r="K24" t="s">
        <v>31</v>
      </c>
      <c r="L24" t="s">
        <v>93</v>
      </c>
      <c r="M24" t="s">
        <v>33</v>
      </c>
      <c r="N24">
        <v>0</v>
      </c>
      <c r="O24" t="s">
        <v>90</v>
      </c>
      <c r="P24" t="s">
        <v>35</v>
      </c>
      <c r="Q24" t="s">
        <v>48</v>
      </c>
      <c r="R24" t="s">
        <v>49</v>
      </c>
      <c r="S24" t="s">
        <v>38</v>
      </c>
      <c r="T24">
        <v>12</v>
      </c>
      <c r="U24">
        <v>72271</v>
      </c>
      <c r="V24">
        <v>0</v>
      </c>
      <c r="W24">
        <v>0</v>
      </c>
      <c r="X24">
        <v>0</v>
      </c>
      <c r="Y24">
        <f>IF(tbl_Incidents[[#This Row],[Lost_Time_Days]]&gt;0, 1, 0)</f>
        <v>0</v>
      </c>
      <c r="Z24" s="1">
        <f>DATE(tbl_Incidents[[#This Row],[Year]], tbl_Incidents[[#This Row],[Month]], 1)</f>
        <v>44713</v>
      </c>
      <c r="AA24" t="str">
        <f t="shared" si="0"/>
        <v>Broome Logistics Hub|2022-06</v>
      </c>
    </row>
    <row r="25" spans="1:27" x14ac:dyDescent="0.35">
      <c r="A25" t="s">
        <v>115</v>
      </c>
      <c r="B25" s="1">
        <v>44602</v>
      </c>
      <c r="C25">
        <v>2022</v>
      </c>
      <c r="D25">
        <v>2</v>
      </c>
      <c r="E25" t="s">
        <v>52</v>
      </c>
      <c r="F25" t="s">
        <v>53</v>
      </c>
      <c r="G25" t="s">
        <v>27</v>
      </c>
      <c r="H25" t="s">
        <v>86</v>
      </c>
      <c r="I25" t="s">
        <v>98</v>
      </c>
      <c r="J25" t="s">
        <v>30</v>
      </c>
      <c r="K25" t="s">
        <v>31</v>
      </c>
      <c r="L25" t="s">
        <v>95</v>
      </c>
      <c r="M25" t="s">
        <v>46</v>
      </c>
      <c r="N25">
        <v>0</v>
      </c>
      <c r="O25" t="s">
        <v>90</v>
      </c>
      <c r="P25" t="s">
        <v>91</v>
      </c>
      <c r="Q25" t="s">
        <v>81</v>
      </c>
      <c r="R25" t="s">
        <v>57</v>
      </c>
      <c r="S25" t="s">
        <v>38</v>
      </c>
      <c r="T25">
        <v>9</v>
      </c>
      <c r="U25">
        <v>74814</v>
      </c>
      <c r="V25">
        <v>0</v>
      </c>
      <c r="W25">
        <v>0</v>
      </c>
      <c r="X25">
        <v>0</v>
      </c>
      <c r="Y25">
        <f>IF(tbl_Incidents[[#This Row],[Lost_Time_Days]]&gt;0, 1, 0)</f>
        <v>0</v>
      </c>
      <c r="Z25" s="1">
        <f>DATE(tbl_Incidents[[#This Row],[Year]], tbl_Incidents[[#This Row],[Month]], 1)</f>
        <v>44593</v>
      </c>
      <c r="AA25" t="str">
        <f t="shared" si="0"/>
        <v>Thunderbird Mine|2022-02</v>
      </c>
    </row>
    <row r="26" spans="1:27" x14ac:dyDescent="0.35">
      <c r="A26" t="s">
        <v>116</v>
      </c>
      <c r="B26" s="1">
        <v>44967</v>
      </c>
      <c r="C26">
        <v>2023</v>
      </c>
      <c r="D26">
        <v>2</v>
      </c>
      <c r="E26" t="s">
        <v>52</v>
      </c>
      <c r="F26" t="s">
        <v>53</v>
      </c>
      <c r="G26" t="s">
        <v>59</v>
      </c>
      <c r="H26" t="s">
        <v>86</v>
      </c>
      <c r="I26" t="s">
        <v>44</v>
      </c>
      <c r="J26" t="s">
        <v>30</v>
      </c>
      <c r="K26" t="s">
        <v>117</v>
      </c>
      <c r="L26" t="s">
        <v>74</v>
      </c>
      <c r="M26" t="s">
        <v>33</v>
      </c>
      <c r="N26">
        <v>0</v>
      </c>
      <c r="O26" t="s">
        <v>63</v>
      </c>
      <c r="P26" t="s">
        <v>35</v>
      </c>
      <c r="Q26" t="s">
        <v>36</v>
      </c>
      <c r="R26" t="s">
        <v>37</v>
      </c>
      <c r="S26" t="s">
        <v>38</v>
      </c>
      <c r="T26">
        <v>12</v>
      </c>
      <c r="U26">
        <v>74760</v>
      </c>
      <c r="V26">
        <v>0</v>
      </c>
      <c r="W26">
        <v>0</v>
      </c>
      <c r="X26">
        <v>0</v>
      </c>
      <c r="Y26">
        <f>IF(tbl_Incidents[[#This Row],[Lost_Time_Days]]&gt;0, 1, 0)</f>
        <v>0</v>
      </c>
      <c r="Z26" s="1">
        <f>DATE(tbl_Incidents[[#This Row],[Year]], tbl_Incidents[[#This Row],[Month]], 1)</f>
        <v>44958</v>
      </c>
      <c r="AA26" t="str">
        <f t="shared" si="0"/>
        <v>Pilbara Crusher Plant|2023-02</v>
      </c>
    </row>
    <row r="27" spans="1:27" x14ac:dyDescent="0.35">
      <c r="A27" t="s">
        <v>118</v>
      </c>
      <c r="B27" s="1">
        <v>44697</v>
      </c>
      <c r="C27">
        <v>2022</v>
      </c>
      <c r="D27">
        <v>5</v>
      </c>
      <c r="E27" t="s">
        <v>109</v>
      </c>
      <c r="F27" t="s">
        <v>41</v>
      </c>
      <c r="G27" t="s">
        <v>27</v>
      </c>
      <c r="H27" t="s">
        <v>73</v>
      </c>
      <c r="I27" t="s">
        <v>60</v>
      </c>
      <c r="J27" t="s">
        <v>61</v>
      </c>
      <c r="K27" t="s">
        <v>117</v>
      </c>
      <c r="L27" t="s">
        <v>32</v>
      </c>
      <c r="M27" t="s">
        <v>33</v>
      </c>
      <c r="N27">
        <v>0</v>
      </c>
      <c r="O27" t="s">
        <v>63</v>
      </c>
      <c r="P27" t="s">
        <v>91</v>
      </c>
      <c r="Q27" t="s">
        <v>76</v>
      </c>
      <c r="R27" t="s">
        <v>37</v>
      </c>
      <c r="S27" t="s">
        <v>38</v>
      </c>
      <c r="T27">
        <v>12</v>
      </c>
      <c r="U27">
        <v>79240</v>
      </c>
      <c r="V27">
        <v>1</v>
      </c>
      <c r="W27">
        <v>0</v>
      </c>
      <c r="X27">
        <v>0</v>
      </c>
      <c r="Y27">
        <f>IF(tbl_Incidents[[#This Row],[Lost_Time_Days]]&gt;0, 1, 0)</f>
        <v>0</v>
      </c>
      <c r="Z27" s="1">
        <f>DATE(tbl_Incidents[[#This Row],[Year]], tbl_Incidents[[#This Row],[Month]], 1)</f>
        <v>44682</v>
      </c>
      <c r="AA27" t="str">
        <f t="shared" si="0"/>
        <v>Thunderbird Mine|2022-05</v>
      </c>
    </row>
    <row r="28" spans="1:27" x14ac:dyDescent="0.35">
      <c r="A28" t="s">
        <v>119</v>
      </c>
      <c r="B28" s="1">
        <v>45241</v>
      </c>
      <c r="C28">
        <v>2023</v>
      </c>
      <c r="D28">
        <v>11</v>
      </c>
      <c r="E28" t="s">
        <v>107</v>
      </c>
      <c r="F28" t="s">
        <v>26</v>
      </c>
      <c r="G28" t="s">
        <v>42</v>
      </c>
      <c r="H28" t="s">
        <v>120</v>
      </c>
      <c r="I28" t="s">
        <v>29</v>
      </c>
      <c r="J28" t="s">
        <v>30</v>
      </c>
      <c r="K28" t="s">
        <v>31</v>
      </c>
      <c r="L28" t="s">
        <v>74</v>
      </c>
      <c r="M28" t="s">
        <v>33</v>
      </c>
      <c r="N28">
        <v>0</v>
      </c>
      <c r="O28" t="s">
        <v>75</v>
      </c>
      <c r="P28" t="s">
        <v>35</v>
      </c>
      <c r="Q28" t="s">
        <v>81</v>
      </c>
      <c r="R28" t="s">
        <v>57</v>
      </c>
      <c r="S28" t="s">
        <v>50</v>
      </c>
      <c r="T28">
        <v>9</v>
      </c>
      <c r="U28">
        <v>84942</v>
      </c>
      <c r="V28">
        <v>0</v>
      </c>
      <c r="W28">
        <v>0</v>
      </c>
      <c r="X28">
        <v>0</v>
      </c>
      <c r="Y28">
        <f>IF(tbl_Incidents[[#This Row],[Lost_Time_Days]]&gt;0, 1, 0)</f>
        <v>0</v>
      </c>
      <c r="Z28" s="1">
        <f>DATE(tbl_Incidents[[#This Row],[Year]], tbl_Incidents[[#This Row],[Month]], 1)</f>
        <v>45231</v>
      </c>
      <c r="AA28" t="str">
        <f t="shared" si="0"/>
        <v>Darwin Port Facility|2023-11</v>
      </c>
    </row>
    <row r="29" spans="1:27" x14ac:dyDescent="0.35">
      <c r="A29" t="s">
        <v>121</v>
      </c>
      <c r="B29" s="1">
        <v>45211</v>
      </c>
      <c r="C29">
        <v>2023</v>
      </c>
      <c r="D29">
        <v>10</v>
      </c>
      <c r="E29" t="s">
        <v>25</v>
      </c>
      <c r="F29" t="s">
        <v>26</v>
      </c>
      <c r="G29" t="s">
        <v>59</v>
      </c>
      <c r="H29" t="s">
        <v>43</v>
      </c>
      <c r="I29" t="s">
        <v>54</v>
      </c>
      <c r="J29" t="s">
        <v>30</v>
      </c>
      <c r="K29" t="s">
        <v>31</v>
      </c>
      <c r="L29" t="s">
        <v>83</v>
      </c>
      <c r="M29" t="s">
        <v>56</v>
      </c>
      <c r="N29">
        <v>0</v>
      </c>
      <c r="O29" t="s">
        <v>70</v>
      </c>
      <c r="P29" t="s">
        <v>35</v>
      </c>
      <c r="Q29" t="s">
        <v>36</v>
      </c>
      <c r="R29" t="s">
        <v>49</v>
      </c>
      <c r="S29" t="s">
        <v>38</v>
      </c>
      <c r="T29">
        <v>8</v>
      </c>
      <c r="U29">
        <v>40464</v>
      </c>
      <c r="V29">
        <v>0</v>
      </c>
      <c r="W29">
        <v>0</v>
      </c>
      <c r="X29">
        <v>0</v>
      </c>
      <c r="Y29">
        <f>IF(tbl_Incidents[[#This Row],[Lost_Time_Days]]&gt;0, 1, 0)</f>
        <v>0</v>
      </c>
      <c r="Z29" s="1">
        <f>DATE(tbl_Incidents[[#This Row],[Year]], tbl_Incidents[[#This Row],[Month]], 1)</f>
        <v>45200</v>
      </c>
      <c r="AA29" t="str">
        <f t="shared" si="0"/>
        <v>Pilbara Crusher Plant|2023-10</v>
      </c>
    </row>
    <row r="30" spans="1:27" x14ac:dyDescent="0.35">
      <c r="A30" t="s">
        <v>122</v>
      </c>
      <c r="B30" s="1">
        <v>44903</v>
      </c>
      <c r="C30">
        <v>2022</v>
      </c>
      <c r="D30">
        <v>12</v>
      </c>
      <c r="E30" t="s">
        <v>123</v>
      </c>
      <c r="F30" t="s">
        <v>26</v>
      </c>
      <c r="G30" t="s">
        <v>42</v>
      </c>
      <c r="H30" t="s">
        <v>28</v>
      </c>
      <c r="I30" t="s">
        <v>54</v>
      </c>
      <c r="J30" t="s">
        <v>30</v>
      </c>
      <c r="K30" t="s">
        <v>31</v>
      </c>
      <c r="L30" t="s">
        <v>32</v>
      </c>
      <c r="M30" t="s">
        <v>33</v>
      </c>
      <c r="N30">
        <v>0</v>
      </c>
      <c r="O30" t="s">
        <v>75</v>
      </c>
      <c r="P30" t="s">
        <v>47</v>
      </c>
      <c r="Q30" t="s">
        <v>76</v>
      </c>
      <c r="R30" t="s">
        <v>49</v>
      </c>
      <c r="S30" t="s">
        <v>50</v>
      </c>
      <c r="T30">
        <v>8</v>
      </c>
      <c r="U30">
        <v>54663</v>
      </c>
      <c r="V30">
        <v>0</v>
      </c>
      <c r="W30">
        <v>0</v>
      </c>
      <c r="X30">
        <v>0</v>
      </c>
      <c r="Y30">
        <f>IF(tbl_Incidents[[#This Row],[Lost_Time_Days]]&gt;0, 1, 0)</f>
        <v>0</v>
      </c>
      <c r="Z30" s="1">
        <f>DATE(tbl_Incidents[[#This Row],[Year]], tbl_Incidents[[#This Row],[Month]], 1)</f>
        <v>44896</v>
      </c>
      <c r="AA30" t="str">
        <f t="shared" si="0"/>
        <v>Darwin Port Facility|2022-12</v>
      </c>
    </row>
    <row r="31" spans="1:27" x14ac:dyDescent="0.35">
      <c r="A31" t="s">
        <v>124</v>
      </c>
      <c r="B31" s="1">
        <v>44639</v>
      </c>
      <c r="C31">
        <v>2022</v>
      </c>
      <c r="D31">
        <v>3</v>
      </c>
      <c r="E31" t="s">
        <v>125</v>
      </c>
      <c r="F31" t="s">
        <v>53</v>
      </c>
      <c r="G31" t="s">
        <v>42</v>
      </c>
      <c r="H31" t="s">
        <v>43</v>
      </c>
      <c r="I31" t="s">
        <v>79</v>
      </c>
      <c r="J31" t="s">
        <v>30</v>
      </c>
      <c r="K31" t="s">
        <v>31</v>
      </c>
      <c r="L31" t="s">
        <v>45</v>
      </c>
      <c r="M31" t="s">
        <v>56</v>
      </c>
      <c r="N31">
        <v>0</v>
      </c>
      <c r="O31" t="s">
        <v>90</v>
      </c>
      <c r="P31" t="s">
        <v>35</v>
      </c>
      <c r="Q31" t="s">
        <v>64</v>
      </c>
      <c r="R31" t="s">
        <v>57</v>
      </c>
      <c r="S31" t="s">
        <v>38</v>
      </c>
      <c r="T31">
        <v>10</v>
      </c>
      <c r="U31">
        <v>87795</v>
      </c>
      <c r="V31">
        <v>0</v>
      </c>
      <c r="W31">
        <v>0</v>
      </c>
      <c r="X31">
        <v>0</v>
      </c>
      <c r="Y31">
        <f>IF(tbl_Incidents[[#This Row],[Lost_Time_Days]]&gt;0, 1, 0)</f>
        <v>0</v>
      </c>
      <c r="Z31" s="1">
        <f>DATE(tbl_Incidents[[#This Row],[Year]], tbl_Incidents[[#This Row],[Month]], 1)</f>
        <v>44621</v>
      </c>
      <c r="AA31" t="str">
        <f t="shared" si="0"/>
        <v>Darwin Port Facility|2022-03</v>
      </c>
    </row>
    <row r="32" spans="1:27" x14ac:dyDescent="0.35">
      <c r="A32" t="s">
        <v>126</v>
      </c>
      <c r="B32" s="1">
        <v>45377</v>
      </c>
      <c r="C32">
        <v>2024</v>
      </c>
      <c r="D32">
        <v>3</v>
      </c>
      <c r="E32" t="s">
        <v>125</v>
      </c>
      <c r="F32" t="s">
        <v>53</v>
      </c>
      <c r="G32" t="s">
        <v>27</v>
      </c>
      <c r="H32" t="s">
        <v>120</v>
      </c>
      <c r="I32" t="s">
        <v>54</v>
      </c>
      <c r="J32" t="s">
        <v>30</v>
      </c>
      <c r="K32" t="s">
        <v>31</v>
      </c>
      <c r="L32" t="s">
        <v>100</v>
      </c>
      <c r="M32" t="s">
        <v>46</v>
      </c>
      <c r="N32">
        <v>0</v>
      </c>
      <c r="O32" t="s">
        <v>34</v>
      </c>
      <c r="P32" t="s">
        <v>35</v>
      </c>
      <c r="Q32" t="s">
        <v>81</v>
      </c>
      <c r="R32" t="s">
        <v>37</v>
      </c>
      <c r="S32" t="s">
        <v>88</v>
      </c>
      <c r="T32">
        <v>12</v>
      </c>
      <c r="U32">
        <v>60257</v>
      </c>
      <c r="V32">
        <v>0</v>
      </c>
      <c r="W32">
        <v>0</v>
      </c>
      <c r="X32">
        <v>0</v>
      </c>
      <c r="Y32">
        <f>IF(tbl_Incidents[[#This Row],[Lost_Time_Days]]&gt;0, 1, 0)</f>
        <v>0</v>
      </c>
      <c r="Z32" s="1">
        <f>DATE(tbl_Incidents[[#This Row],[Year]], tbl_Incidents[[#This Row],[Month]], 1)</f>
        <v>45352</v>
      </c>
      <c r="AA32" t="str">
        <f t="shared" si="0"/>
        <v>Thunderbird Mine|2024-03</v>
      </c>
    </row>
    <row r="33" spans="1:27" x14ac:dyDescent="0.35">
      <c r="A33" t="s">
        <v>127</v>
      </c>
      <c r="B33" s="1">
        <v>44804</v>
      </c>
      <c r="C33">
        <v>2022</v>
      </c>
      <c r="D33">
        <v>8</v>
      </c>
      <c r="E33" t="s">
        <v>66</v>
      </c>
      <c r="F33" t="s">
        <v>67</v>
      </c>
      <c r="G33" t="s">
        <v>42</v>
      </c>
      <c r="H33" t="s">
        <v>73</v>
      </c>
      <c r="I33" t="s">
        <v>54</v>
      </c>
      <c r="J33" t="s">
        <v>30</v>
      </c>
      <c r="K33" t="s">
        <v>31</v>
      </c>
      <c r="L33" t="s">
        <v>55</v>
      </c>
      <c r="M33" t="s">
        <v>33</v>
      </c>
      <c r="N33">
        <v>0</v>
      </c>
      <c r="O33" t="s">
        <v>34</v>
      </c>
      <c r="P33" t="s">
        <v>91</v>
      </c>
      <c r="Q33" t="s">
        <v>64</v>
      </c>
      <c r="R33" t="s">
        <v>57</v>
      </c>
      <c r="S33" t="s">
        <v>38</v>
      </c>
      <c r="T33">
        <v>9</v>
      </c>
      <c r="U33">
        <v>54168</v>
      </c>
      <c r="V33">
        <v>0</v>
      </c>
      <c r="W33">
        <v>0</v>
      </c>
      <c r="X33">
        <v>0</v>
      </c>
      <c r="Y33">
        <f>IF(tbl_Incidents[[#This Row],[Lost_Time_Days]]&gt;0, 1, 0)</f>
        <v>0</v>
      </c>
      <c r="Z33" s="1">
        <f>DATE(tbl_Incidents[[#This Row],[Year]], tbl_Incidents[[#This Row],[Month]], 1)</f>
        <v>44774</v>
      </c>
      <c r="AA33" t="str">
        <f t="shared" si="0"/>
        <v>Darwin Port Facility|2022-08</v>
      </c>
    </row>
    <row r="34" spans="1:27" x14ac:dyDescent="0.35">
      <c r="A34" t="s">
        <v>128</v>
      </c>
      <c r="B34" s="1">
        <v>44953</v>
      </c>
      <c r="C34">
        <v>2023</v>
      </c>
      <c r="D34">
        <v>1</v>
      </c>
      <c r="E34" t="s">
        <v>129</v>
      </c>
      <c r="F34" t="s">
        <v>53</v>
      </c>
      <c r="G34" t="s">
        <v>27</v>
      </c>
      <c r="H34" t="s">
        <v>86</v>
      </c>
      <c r="I34" t="s">
        <v>54</v>
      </c>
      <c r="J34" t="s">
        <v>30</v>
      </c>
      <c r="K34" t="s">
        <v>31</v>
      </c>
      <c r="L34" t="s">
        <v>100</v>
      </c>
      <c r="M34" t="s">
        <v>33</v>
      </c>
      <c r="N34">
        <v>0</v>
      </c>
      <c r="O34" t="s">
        <v>70</v>
      </c>
      <c r="P34" t="s">
        <v>47</v>
      </c>
      <c r="Q34" t="s">
        <v>81</v>
      </c>
      <c r="R34" t="s">
        <v>57</v>
      </c>
      <c r="S34" t="s">
        <v>38</v>
      </c>
      <c r="T34">
        <v>9</v>
      </c>
      <c r="U34">
        <v>43101</v>
      </c>
      <c r="V34">
        <v>0</v>
      </c>
      <c r="W34">
        <v>0</v>
      </c>
      <c r="X34">
        <v>0</v>
      </c>
      <c r="Y34">
        <f>IF(tbl_Incidents[[#This Row],[Lost_Time_Days]]&gt;0, 1, 0)</f>
        <v>0</v>
      </c>
      <c r="Z34" s="1">
        <f>DATE(tbl_Incidents[[#This Row],[Year]], tbl_Incidents[[#This Row],[Month]], 1)</f>
        <v>44927</v>
      </c>
      <c r="AA34" t="str">
        <f t="shared" si="0"/>
        <v>Thunderbird Mine|2023-01</v>
      </c>
    </row>
    <row r="35" spans="1:27" x14ac:dyDescent="0.35">
      <c r="A35" t="s">
        <v>130</v>
      </c>
      <c r="B35" s="1">
        <v>45237</v>
      </c>
      <c r="C35">
        <v>2023</v>
      </c>
      <c r="D35">
        <v>11</v>
      </c>
      <c r="E35" t="s">
        <v>107</v>
      </c>
      <c r="F35" t="s">
        <v>26</v>
      </c>
      <c r="G35" t="s">
        <v>105</v>
      </c>
      <c r="H35" t="s">
        <v>120</v>
      </c>
      <c r="I35" t="s">
        <v>44</v>
      </c>
      <c r="J35" t="s">
        <v>30</v>
      </c>
      <c r="K35" t="s">
        <v>62</v>
      </c>
      <c r="L35" t="s">
        <v>74</v>
      </c>
      <c r="M35" t="s">
        <v>56</v>
      </c>
      <c r="N35">
        <v>0</v>
      </c>
      <c r="O35" t="s">
        <v>34</v>
      </c>
      <c r="P35" t="s">
        <v>47</v>
      </c>
      <c r="Q35" t="s">
        <v>76</v>
      </c>
      <c r="R35" t="s">
        <v>57</v>
      </c>
      <c r="S35" t="s">
        <v>38</v>
      </c>
      <c r="T35">
        <v>8</v>
      </c>
      <c r="U35">
        <v>74237</v>
      </c>
      <c r="V35">
        <v>0</v>
      </c>
      <c r="W35">
        <v>0</v>
      </c>
      <c r="X35">
        <v>0</v>
      </c>
      <c r="Y35">
        <f>IF(tbl_Incidents[[#This Row],[Lost_Time_Days]]&gt;0, 1, 0)</f>
        <v>0</v>
      </c>
      <c r="Z35" s="1">
        <f>DATE(tbl_Incidents[[#This Row],[Year]], tbl_Incidents[[#This Row],[Month]], 1)</f>
        <v>45231</v>
      </c>
      <c r="AA35" t="str">
        <f t="shared" si="0"/>
        <v>Katherine Processing Site|2023-11</v>
      </c>
    </row>
    <row r="36" spans="1:27" x14ac:dyDescent="0.35">
      <c r="A36" t="s">
        <v>131</v>
      </c>
      <c r="B36" s="1">
        <v>44744</v>
      </c>
      <c r="C36">
        <v>2022</v>
      </c>
      <c r="D36">
        <v>7</v>
      </c>
      <c r="E36" t="s">
        <v>85</v>
      </c>
      <c r="F36" t="s">
        <v>67</v>
      </c>
      <c r="G36" t="s">
        <v>59</v>
      </c>
      <c r="H36" t="s">
        <v>68</v>
      </c>
      <c r="I36" t="s">
        <v>98</v>
      </c>
      <c r="J36" t="s">
        <v>30</v>
      </c>
      <c r="K36" t="s">
        <v>31</v>
      </c>
      <c r="L36" t="s">
        <v>74</v>
      </c>
      <c r="M36" t="s">
        <v>46</v>
      </c>
      <c r="N36">
        <v>0</v>
      </c>
      <c r="O36" t="s">
        <v>63</v>
      </c>
      <c r="P36" t="s">
        <v>91</v>
      </c>
      <c r="Q36" t="s">
        <v>81</v>
      </c>
      <c r="R36" t="s">
        <v>49</v>
      </c>
      <c r="S36" t="s">
        <v>50</v>
      </c>
      <c r="T36">
        <v>12</v>
      </c>
      <c r="U36">
        <v>55157</v>
      </c>
      <c r="V36">
        <v>0</v>
      </c>
      <c r="W36">
        <v>0</v>
      </c>
      <c r="X36">
        <v>0</v>
      </c>
      <c r="Y36">
        <f>IF(tbl_Incidents[[#This Row],[Lost_Time_Days]]&gt;0, 1, 0)</f>
        <v>0</v>
      </c>
      <c r="Z36" s="1">
        <f>DATE(tbl_Incidents[[#This Row],[Year]], tbl_Incidents[[#This Row],[Month]], 1)</f>
        <v>44743</v>
      </c>
      <c r="AA36" t="str">
        <f t="shared" si="0"/>
        <v>Pilbara Crusher Plant|2022-07</v>
      </c>
    </row>
    <row r="37" spans="1:27" x14ac:dyDescent="0.35">
      <c r="A37" t="s">
        <v>132</v>
      </c>
      <c r="B37" s="1">
        <v>44956</v>
      </c>
      <c r="C37">
        <v>2023</v>
      </c>
      <c r="D37">
        <v>1</v>
      </c>
      <c r="E37" t="s">
        <v>129</v>
      </c>
      <c r="F37" t="s">
        <v>53</v>
      </c>
      <c r="G37" t="s">
        <v>42</v>
      </c>
      <c r="H37" t="s">
        <v>120</v>
      </c>
      <c r="I37" t="s">
        <v>98</v>
      </c>
      <c r="J37" t="s">
        <v>30</v>
      </c>
      <c r="K37" t="s">
        <v>31</v>
      </c>
      <c r="L37" t="s">
        <v>45</v>
      </c>
      <c r="M37" t="s">
        <v>46</v>
      </c>
      <c r="N37">
        <v>0</v>
      </c>
      <c r="O37" t="s">
        <v>63</v>
      </c>
      <c r="P37" t="s">
        <v>35</v>
      </c>
      <c r="Q37" t="s">
        <v>76</v>
      </c>
      <c r="R37" t="s">
        <v>37</v>
      </c>
      <c r="S37" t="s">
        <v>38</v>
      </c>
      <c r="T37">
        <v>10</v>
      </c>
      <c r="U37">
        <v>96531</v>
      </c>
      <c r="V37">
        <v>0</v>
      </c>
      <c r="W37">
        <v>0</v>
      </c>
      <c r="X37">
        <v>0</v>
      </c>
      <c r="Y37">
        <f>IF(tbl_Incidents[[#This Row],[Lost_Time_Days]]&gt;0, 1, 0)</f>
        <v>0</v>
      </c>
      <c r="Z37" s="1">
        <f>DATE(tbl_Incidents[[#This Row],[Year]], tbl_Incidents[[#This Row],[Month]], 1)</f>
        <v>44927</v>
      </c>
      <c r="AA37" t="str">
        <f t="shared" si="0"/>
        <v>Darwin Port Facility|2023-01</v>
      </c>
    </row>
    <row r="38" spans="1:27" x14ac:dyDescent="0.35">
      <c r="A38" t="s">
        <v>133</v>
      </c>
      <c r="B38" s="1">
        <v>44633</v>
      </c>
      <c r="C38">
        <v>2022</v>
      </c>
      <c r="D38">
        <v>3</v>
      </c>
      <c r="E38" t="s">
        <v>125</v>
      </c>
      <c r="F38" t="s">
        <v>53</v>
      </c>
      <c r="G38" t="s">
        <v>59</v>
      </c>
      <c r="H38" t="s">
        <v>43</v>
      </c>
      <c r="I38" t="s">
        <v>79</v>
      </c>
      <c r="J38" t="s">
        <v>30</v>
      </c>
      <c r="K38" t="s">
        <v>31</v>
      </c>
      <c r="L38" t="s">
        <v>80</v>
      </c>
      <c r="M38" t="s">
        <v>46</v>
      </c>
      <c r="N38">
        <v>0</v>
      </c>
      <c r="O38" t="s">
        <v>70</v>
      </c>
      <c r="P38" t="s">
        <v>35</v>
      </c>
      <c r="Q38" t="s">
        <v>81</v>
      </c>
      <c r="R38" t="s">
        <v>37</v>
      </c>
      <c r="S38" t="s">
        <v>38</v>
      </c>
      <c r="T38">
        <v>11</v>
      </c>
      <c r="U38">
        <v>82753</v>
      </c>
      <c r="V38">
        <v>0</v>
      </c>
      <c r="W38">
        <v>0</v>
      </c>
      <c r="X38">
        <v>0</v>
      </c>
      <c r="Y38">
        <f>IF(tbl_Incidents[[#This Row],[Lost_Time_Days]]&gt;0, 1, 0)</f>
        <v>0</v>
      </c>
      <c r="Z38" s="1">
        <f>DATE(tbl_Incidents[[#This Row],[Year]], tbl_Incidents[[#This Row],[Month]], 1)</f>
        <v>44621</v>
      </c>
      <c r="AA38" t="str">
        <f t="shared" si="0"/>
        <v>Pilbara Crusher Plant|2022-03</v>
      </c>
    </row>
    <row r="39" spans="1:27" x14ac:dyDescent="0.35">
      <c r="A39" t="s">
        <v>134</v>
      </c>
      <c r="B39" s="1">
        <v>44974</v>
      </c>
      <c r="C39">
        <v>2023</v>
      </c>
      <c r="D39">
        <v>2</v>
      </c>
      <c r="E39" t="s">
        <v>52</v>
      </c>
      <c r="F39" t="s">
        <v>53</v>
      </c>
      <c r="G39" t="s">
        <v>59</v>
      </c>
      <c r="H39" t="s">
        <v>43</v>
      </c>
      <c r="I39" t="s">
        <v>79</v>
      </c>
      <c r="J39" t="s">
        <v>30</v>
      </c>
      <c r="K39" t="s">
        <v>31</v>
      </c>
      <c r="L39" t="s">
        <v>93</v>
      </c>
      <c r="M39" t="s">
        <v>33</v>
      </c>
      <c r="N39">
        <v>0</v>
      </c>
      <c r="O39" t="s">
        <v>63</v>
      </c>
      <c r="P39" t="s">
        <v>47</v>
      </c>
      <c r="Q39" t="s">
        <v>48</v>
      </c>
      <c r="R39" t="s">
        <v>37</v>
      </c>
      <c r="S39" t="s">
        <v>50</v>
      </c>
      <c r="T39">
        <v>10</v>
      </c>
      <c r="U39">
        <v>93225</v>
      </c>
      <c r="V39">
        <v>0</v>
      </c>
      <c r="W39">
        <v>0</v>
      </c>
      <c r="X39">
        <v>0</v>
      </c>
      <c r="Y39">
        <f>IF(tbl_Incidents[[#This Row],[Lost_Time_Days]]&gt;0, 1, 0)</f>
        <v>0</v>
      </c>
      <c r="Z39" s="1">
        <f>DATE(tbl_Incidents[[#This Row],[Year]], tbl_Incidents[[#This Row],[Month]], 1)</f>
        <v>44958</v>
      </c>
      <c r="AA39" t="str">
        <f t="shared" si="0"/>
        <v>Pilbara Crusher Plant|2023-02</v>
      </c>
    </row>
    <row r="40" spans="1:27" x14ac:dyDescent="0.35">
      <c r="A40" t="s">
        <v>135</v>
      </c>
      <c r="B40" s="1">
        <v>45123</v>
      </c>
      <c r="C40">
        <v>2023</v>
      </c>
      <c r="D40">
        <v>7</v>
      </c>
      <c r="E40" t="s">
        <v>85</v>
      </c>
      <c r="F40" t="s">
        <v>67</v>
      </c>
      <c r="G40" t="s">
        <v>27</v>
      </c>
      <c r="H40" t="s">
        <v>120</v>
      </c>
      <c r="I40" t="s">
        <v>54</v>
      </c>
      <c r="J40" t="s">
        <v>30</v>
      </c>
      <c r="K40" t="s">
        <v>31</v>
      </c>
      <c r="L40" t="s">
        <v>32</v>
      </c>
      <c r="M40" t="s">
        <v>33</v>
      </c>
      <c r="N40">
        <v>0</v>
      </c>
      <c r="O40" t="s">
        <v>63</v>
      </c>
      <c r="P40" t="s">
        <v>91</v>
      </c>
      <c r="Q40" t="s">
        <v>64</v>
      </c>
      <c r="R40" t="s">
        <v>49</v>
      </c>
      <c r="S40" t="s">
        <v>88</v>
      </c>
      <c r="T40">
        <v>9</v>
      </c>
      <c r="U40">
        <v>107000</v>
      </c>
      <c r="V40">
        <v>0</v>
      </c>
      <c r="W40">
        <v>0</v>
      </c>
      <c r="X40">
        <v>0</v>
      </c>
      <c r="Y40">
        <f>IF(tbl_Incidents[[#This Row],[Lost_Time_Days]]&gt;0, 1, 0)</f>
        <v>0</v>
      </c>
      <c r="Z40" s="1">
        <f>DATE(tbl_Incidents[[#This Row],[Year]], tbl_Incidents[[#This Row],[Month]], 1)</f>
        <v>45108</v>
      </c>
      <c r="AA40" t="str">
        <f t="shared" si="0"/>
        <v>Thunderbird Mine|2023-07</v>
      </c>
    </row>
    <row r="41" spans="1:27" x14ac:dyDescent="0.35">
      <c r="A41" t="s">
        <v>136</v>
      </c>
      <c r="B41" s="1">
        <v>45046</v>
      </c>
      <c r="C41">
        <v>2023</v>
      </c>
      <c r="D41">
        <v>4</v>
      </c>
      <c r="E41" t="s">
        <v>40</v>
      </c>
      <c r="F41" t="s">
        <v>41</v>
      </c>
      <c r="G41" t="s">
        <v>42</v>
      </c>
      <c r="H41" t="s">
        <v>28</v>
      </c>
      <c r="I41" t="s">
        <v>54</v>
      </c>
      <c r="J41" t="s">
        <v>30</v>
      </c>
      <c r="K41" t="s">
        <v>31</v>
      </c>
      <c r="L41" t="s">
        <v>74</v>
      </c>
      <c r="M41" t="s">
        <v>56</v>
      </c>
      <c r="N41">
        <v>0</v>
      </c>
      <c r="O41" t="s">
        <v>90</v>
      </c>
      <c r="P41" t="s">
        <v>91</v>
      </c>
      <c r="Q41" t="s">
        <v>36</v>
      </c>
      <c r="R41" t="s">
        <v>57</v>
      </c>
      <c r="S41" t="s">
        <v>38</v>
      </c>
      <c r="T41">
        <v>9</v>
      </c>
      <c r="U41">
        <v>66100</v>
      </c>
      <c r="V41">
        <v>0</v>
      </c>
      <c r="W41">
        <v>0</v>
      </c>
      <c r="X41">
        <v>0</v>
      </c>
      <c r="Y41">
        <f>IF(tbl_Incidents[[#This Row],[Lost_Time_Days]]&gt;0, 1, 0)</f>
        <v>0</v>
      </c>
      <c r="Z41" s="1">
        <f>DATE(tbl_Incidents[[#This Row],[Year]], tbl_Incidents[[#This Row],[Month]], 1)</f>
        <v>45017</v>
      </c>
      <c r="AA41" t="str">
        <f t="shared" si="0"/>
        <v>Darwin Port Facility|2023-04</v>
      </c>
    </row>
    <row r="42" spans="1:27" x14ac:dyDescent="0.35">
      <c r="A42" t="s">
        <v>137</v>
      </c>
      <c r="B42" s="1">
        <v>44712</v>
      </c>
      <c r="C42">
        <v>2022</v>
      </c>
      <c r="D42">
        <v>5</v>
      </c>
      <c r="E42" t="s">
        <v>109</v>
      </c>
      <c r="F42" t="s">
        <v>41</v>
      </c>
      <c r="G42" t="s">
        <v>27</v>
      </c>
      <c r="H42" t="s">
        <v>73</v>
      </c>
      <c r="I42" t="s">
        <v>29</v>
      </c>
      <c r="J42" t="s">
        <v>30</v>
      </c>
      <c r="K42" t="s">
        <v>31</v>
      </c>
      <c r="L42" t="s">
        <v>83</v>
      </c>
      <c r="M42" t="s">
        <v>46</v>
      </c>
      <c r="N42">
        <v>0</v>
      </c>
      <c r="O42" t="s">
        <v>70</v>
      </c>
      <c r="P42" t="s">
        <v>35</v>
      </c>
      <c r="Q42" t="s">
        <v>64</v>
      </c>
      <c r="R42" t="s">
        <v>49</v>
      </c>
      <c r="S42" t="s">
        <v>50</v>
      </c>
      <c r="T42">
        <v>9</v>
      </c>
      <c r="U42">
        <v>90328</v>
      </c>
      <c r="V42">
        <v>0</v>
      </c>
      <c r="W42">
        <v>0</v>
      </c>
      <c r="X42">
        <v>0</v>
      </c>
      <c r="Y42">
        <f>IF(tbl_Incidents[[#This Row],[Lost_Time_Days]]&gt;0, 1, 0)</f>
        <v>0</v>
      </c>
      <c r="Z42" s="1">
        <f>DATE(tbl_Incidents[[#This Row],[Year]], tbl_Incidents[[#This Row],[Month]], 1)</f>
        <v>44682</v>
      </c>
      <c r="AA42" t="str">
        <f t="shared" si="0"/>
        <v>Thunderbird Mine|2022-05</v>
      </c>
    </row>
    <row r="43" spans="1:27" x14ac:dyDescent="0.35">
      <c r="A43" t="s">
        <v>138</v>
      </c>
      <c r="B43" s="1">
        <v>44811</v>
      </c>
      <c r="C43">
        <v>2022</v>
      </c>
      <c r="D43">
        <v>9</v>
      </c>
      <c r="E43" t="s">
        <v>97</v>
      </c>
      <c r="F43" t="s">
        <v>67</v>
      </c>
      <c r="G43" t="s">
        <v>27</v>
      </c>
      <c r="H43" t="s">
        <v>68</v>
      </c>
      <c r="I43" t="s">
        <v>44</v>
      </c>
      <c r="J43" t="s">
        <v>30</v>
      </c>
      <c r="K43" t="s">
        <v>139</v>
      </c>
      <c r="L43" t="s">
        <v>100</v>
      </c>
      <c r="M43" t="s">
        <v>33</v>
      </c>
      <c r="N43">
        <v>0</v>
      </c>
      <c r="O43" t="s">
        <v>70</v>
      </c>
      <c r="P43" t="s">
        <v>47</v>
      </c>
      <c r="Q43" t="s">
        <v>36</v>
      </c>
      <c r="R43" t="s">
        <v>37</v>
      </c>
      <c r="S43" t="s">
        <v>38</v>
      </c>
      <c r="T43">
        <v>8</v>
      </c>
      <c r="U43">
        <v>99829</v>
      </c>
      <c r="V43">
        <v>0</v>
      </c>
      <c r="W43">
        <v>0</v>
      </c>
      <c r="X43">
        <v>0</v>
      </c>
      <c r="Y43">
        <f>IF(tbl_Incidents[[#This Row],[Lost_Time_Days]]&gt;0, 1, 0)</f>
        <v>0</v>
      </c>
      <c r="Z43" s="1">
        <f>DATE(tbl_Incidents[[#This Row],[Year]], tbl_Incidents[[#This Row],[Month]], 1)</f>
        <v>44805</v>
      </c>
      <c r="AA43" t="str">
        <f t="shared" si="0"/>
        <v>Thunderbird Mine|2022-09</v>
      </c>
    </row>
    <row r="44" spans="1:27" x14ac:dyDescent="0.35">
      <c r="A44" t="s">
        <v>140</v>
      </c>
      <c r="B44" s="1">
        <v>44698</v>
      </c>
      <c r="C44">
        <v>2022</v>
      </c>
      <c r="D44">
        <v>5</v>
      </c>
      <c r="E44" t="s">
        <v>109</v>
      </c>
      <c r="F44" t="s">
        <v>41</v>
      </c>
      <c r="G44" t="s">
        <v>105</v>
      </c>
      <c r="H44" t="s">
        <v>28</v>
      </c>
      <c r="I44" t="s">
        <v>54</v>
      </c>
      <c r="J44" t="s">
        <v>30</v>
      </c>
      <c r="K44" t="s">
        <v>31</v>
      </c>
      <c r="L44" t="s">
        <v>103</v>
      </c>
      <c r="M44" t="s">
        <v>46</v>
      </c>
      <c r="N44">
        <v>0</v>
      </c>
      <c r="O44" t="s">
        <v>90</v>
      </c>
      <c r="P44" t="s">
        <v>91</v>
      </c>
      <c r="Q44" t="s">
        <v>64</v>
      </c>
      <c r="R44" t="s">
        <v>37</v>
      </c>
      <c r="S44" t="s">
        <v>50</v>
      </c>
      <c r="T44">
        <v>11</v>
      </c>
      <c r="U44">
        <v>111810</v>
      </c>
      <c r="V44">
        <v>0</v>
      </c>
      <c r="W44">
        <v>0</v>
      </c>
      <c r="X44">
        <v>0</v>
      </c>
      <c r="Y44">
        <f>IF(tbl_Incidents[[#This Row],[Lost_Time_Days]]&gt;0, 1, 0)</f>
        <v>0</v>
      </c>
      <c r="Z44" s="1">
        <f>DATE(tbl_Incidents[[#This Row],[Year]], tbl_Incidents[[#This Row],[Month]], 1)</f>
        <v>44682</v>
      </c>
      <c r="AA44" t="str">
        <f t="shared" si="0"/>
        <v>Katherine Processing Site|2022-05</v>
      </c>
    </row>
    <row r="45" spans="1:27" x14ac:dyDescent="0.35">
      <c r="A45" t="s">
        <v>141</v>
      </c>
      <c r="B45" s="1">
        <v>45018</v>
      </c>
      <c r="C45">
        <v>2023</v>
      </c>
      <c r="D45">
        <v>4</v>
      </c>
      <c r="E45" t="s">
        <v>40</v>
      </c>
      <c r="F45" t="s">
        <v>41</v>
      </c>
      <c r="G45" t="s">
        <v>105</v>
      </c>
      <c r="H45" t="s">
        <v>86</v>
      </c>
      <c r="I45" t="s">
        <v>44</v>
      </c>
      <c r="J45" t="s">
        <v>30</v>
      </c>
      <c r="K45" t="s">
        <v>62</v>
      </c>
      <c r="L45" t="s">
        <v>100</v>
      </c>
      <c r="M45" t="s">
        <v>46</v>
      </c>
      <c r="N45">
        <v>0</v>
      </c>
      <c r="O45" t="s">
        <v>34</v>
      </c>
      <c r="P45" t="s">
        <v>47</v>
      </c>
      <c r="Q45" t="s">
        <v>48</v>
      </c>
      <c r="R45" t="s">
        <v>57</v>
      </c>
      <c r="S45" t="s">
        <v>88</v>
      </c>
      <c r="T45">
        <v>8</v>
      </c>
      <c r="U45">
        <v>77450</v>
      </c>
      <c r="V45">
        <v>0</v>
      </c>
      <c r="W45">
        <v>0</v>
      </c>
      <c r="X45">
        <v>0</v>
      </c>
      <c r="Y45">
        <f>IF(tbl_Incidents[[#This Row],[Lost_Time_Days]]&gt;0, 1, 0)</f>
        <v>0</v>
      </c>
      <c r="Z45" s="1">
        <f>DATE(tbl_Incidents[[#This Row],[Year]], tbl_Incidents[[#This Row],[Month]], 1)</f>
        <v>45017</v>
      </c>
      <c r="AA45" t="str">
        <f t="shared" si="0"/>
        <v>Katherine Processing Site|2023-04</v>
      </c>
    </row>
    <row r="46" spans="1:27" x14ac:dyDescent="0.35">
      <c r="A46" t="s">
        <v>142</v>
      </c>
      <c r="B46" s="1">
        <v>44802</v>
      </c>
      <c r="C46">
        <v>2022</v>
      </c>
      <c r="D46">
        <v>8</v>
      </c>
      <c r="E46" t="s">
        <v>66</v>
      </c>
      <c r="F46" t="s">
        <v>67</v>
      </c>
      <c r="G46" t="s">
        <v>59</v>
      </c>
      <c r="H46" t="s">
        <v>120</v>
      </c>
      <c r="I46" t="s">
        <v>60</v>
      </c>
      <c r="J46" t="s">
        <v>61</v>
      </c>
      <c r="K46" t="s">
        <v>31</v>
      </c>
      <c r="L46" t="s">
        <v>74</v>
      </c>
      <c r="M46" t="s">
        <v>33</v>
      </c>
      <c r="N46">
        <v>0</v>
      </c>
      <c r="O46" t="s">
        <v>34</v>
      </c>
      <c r="P46" t="s">
        <v>35</v>
      </c>
      <c r="Q46" t="s">
        <v>64</v>
      </c>
      <c r="R46" t="s">
        <v>57</v>
      </c>
      <c r="S46" t="s">
        <v>38</v>
      </c>
      <c r="T46">
        <v>8</v>
      </c>
      <c r="U46">
        <v>94377</v>
      </c>
      <c r="V46">
        <v>1</v>
      </c>
      <c r="W46">
        <v>0</v>
      </c>
      <c r="X46">
        <v>0</v>
      </c>
      <c r="Y46">
        <f>IF(tbl_Incidents[[#This Row],[Lost_Time_Days]]&gt;0, 1, 0)</f>
        <v>0</v>
      </c>
      <c r="Z46" s="1">
        <f>DATE(tbl_Incidents[[#This Row],[Year]], tbl_Incidents[[#This Row],[Month]], 1)</f>
        <v>44774</v>
      </c>
      <c r="AA46" t="str">
        <f t="shared" si="0"/>
        <v>Pilbara Crusher Plant|2022-08</v>
      </c>
    </row>
    <row r="47" spans="1:27" x14ac:dyDescent="0.35">
      <c r="A47" t="s">
        <v>143</v>
      </c>
      <c r="B47" s="1">
        <v>44979</v>
      </c>
      <c r="C47">
        <v>2023</v>
      </c>
      <c r="D47">
        <v>2</v>
      </c>
      <c r="E47" t="s">
        <v>52</v>
      </c>
      <c r="F47" t="s">
        <v>53</v>
      </c>
      <c r="G47" t="s">
        <v>78</v>
      </c>
      <c r="H47" t="s">
        <v>86</v>
      </c>
      <c r="I47" t="s">
        <v>60</v>
      </c>
      <c r="J47" t="s">
        <v>61</v>
      </c>
      <c r="K47" t="s">
        <v>139</v>
      </c>
      <c r="L47" t="s">
        <v>45</v>
      </c>
      <c r="M47" t="s">
        <v>33</v>
      </c>
      <c r="N47">
        <v>0</v>
      </c>
      <c r="O47" t="s">
        <v>70</v>
      </c>
      <c r="P47" t="s">
        <v>47</v>
      </c>
      <c r="Q47" t="s">
        <v>64</v>
      </c>
      <c r="R47" t="s">
        <v>37</v>
      </c>
      <c r="S47" t="s">
        <v>38</v>
      </c>
      <c r="T47">
        <v>12</v>
      </c>
      <c r="U47">
        <v>89857</v>
      </c>
      <c r="V47">
        <v>1</v>
      </c>
      <c r="W47">
        <v>0</v>
      </c>
      <c r="X47">
        <v>0</v>
      </c>
      <c r="Y47">
        <f>IF(tbl_Incidents[[#This Row],[Lost_Time_Days]]&gt;0, 1, 0)</f>
        <v>0</v>
      </c>
      <c r="Z47" s="1">
        <f>DATE(tbl_Incidents[[#This Row],[Year]], tbl_Incidents[[#This Row],[Month]], 1)</f>
        <v>44958</v>
      </c>
      <c r="AA47" t="str">
        <f t="shared" si="0"/>
        <v>Broome Logistics Hub|2023-02</v>
      </c>
    </row>
    <row r="48" spans="1:27" x14ac:dyDescent="0.35">
      <c r="A48" t="s">
        <v>144</v>
      </c>
      <c r="B48" s="1">
        <v>45050</v>
      </c>
      <c r="C48">
        <v>2023</v>
      </c>
      <c r="D48">
        <v>5</v>
      </c>
      <c r="E48" t="s">
        <v>109</v>
      </c>
      <c r="F48" t="s">
        <v>41</v>
      </c>
      <c r="G48" t="s">
        <v>59</v>
      </c>
      <c r="H48" t="s">
        <v>120</v>
      </c>
      <c r="I48" t="s">
        <v>29</v>
      </c>
      <c r="J48" t="s">
        <v>30</v>
      </c>
      <c r="K48" t="s">
        <v>31</v>
      </c>
      <c r="L48" t="s">
        <v>55</v>
      </c>
      <c r="M48" t="s">
        <v>56</v>
      </c>
      <c r="N48">
        <v>0</v>
      </c>
      <c r="O48" t="s">
        <v>90</v>
      </c>
      <c r="P48" t="s">
        <v>35</v>
      </c>
      <c r="Q48" t="s">
        <v>64</v>
      </c>
      <c r="R48" t="s">
        <v>57</v>
      </c>
      <c r="S48" t="s">
        <v>38</v>
      </c>
      <c r="T48">
        <v>11</v>
      </c>
      <c r="U48">
        <v>103654</v>
      </c>
      <c r="V48">
        <v>0</v>
      </c>
      <c r="W48">
        <v>0</v>
      </c>
      <c r="X48">
        <v>0</v>
      </c>
      <c r="Y48">
        <f>IF(tbl_Incidents[[#This Row],[Lost_Time_Days]]&gt;0, 1, 0)</f>
        <v>0</v>
      </c>
      <c r="Z48" s="1">
        <f>DATE(tbl_Incidents[[#This Row],[Year]], tbl_Incidents[[#This Row],[Month]], 1)</f>
        <v>45047</v>
      </c>
      <c r="AA48" t="str">
        <f t="shared" si="0"/>
        <v>Pilbara Crusher Plant|2023-05</v>
      </c>
    </row>
    <row r="49" spans="1:27" x14ac:dyDescent="0.35">
      <c r="A49" t="s">
        <v>145</v>
      </c>
      <c r="B49" s="1">
        <v>44906</v>
      </c>
      <c r="C49">
        <v>2022</v>
      </c>
      <c r="D49">
        <v>12</v>
      </c>
      <c r="E49" t="s">
        <v>123</v>
      </c>
      <c r="F49" t="s">
        <v>26</v>
      </c>
      <c r="G49" t="s">
        <v>105</v>
      </c>
      <c r="H49" t="s">
        <v>28</v>
      </c>
      <c r="I49" t="s">
        <v>79</v>
      </c>
      <c r="J49" t="s">
        <v>30</v>
      </c>
      <c r="K49" t="s">
        <v>31</v>
      </c>
      <c r="L49" t="s">
        <v>93</v>
      </c>
      <c r="M49" t="s">
        <v>56</v>
      </c>
      <c r="N49">
        <v>0</v>
      </c>
      <c r="O49" t="s">
        <v>34</v>
      </c>
      <c r="P49" t="s">
        <v>35</v>
      </c>
      <c r="Q49" t="s">
        <v>64</v>
      </c>
      <c r="R49" t="s">
        <v>37</v>
      </c>
      <c r="S49" t="s">
        <v>50</v>
      </c>
      <c r="T49">
        <v>8</v>
      </c>
      <c r="U49">
        <v>51003</v>
      </c>
      <c r="V49">
        <v>0</v>
      </c>
      <c r="W49">
        <v>0</v>
      </c>
      <c r="X49">
        <v>0</v>
      </c>
      <c r="Y49">
        <f>IF(tbl_Incidents[[#This Row],[Lost_Time_Days]]&gt;0, 1, 0)</f>
        <v>0</v>
      </c>
      <c r="Z49" s="1">
        <f>DATE(tbl_Incidents[[#This Row],[Year]], tbl_Incidents[[#This Row],[Month]], 1)</f>
        <v>44896</v>
      </c>
      <c r="AA49" t="str">
        <f t="shared" si="0"/>
        <v>Katherine Processing Site|2022-12</v>
      </c>
    </row>
    <row r="50" spans="1:27" x14ac:dyDescent="0.35">
      <c r="A50" t="s">
        <v>146</v>
      </c>
      <c r="B50" s="1">
        <v>45220</v>
      </c>
      <c r="C50">
        <v>2023</v>
      </c>
      <c r="D50">
        <v>10</v>
      </c>
      <c r="E50" t="s">
        <v>25</v>
      </c>
      <c r="F50" t="s">
        <v>26</v>
      </c>
      <c r="G50" t="s">
        <v>105</v>
      </c>
      <c r="H50" t="s">
        <v>73</v>
      </c>
      <c r="I50" t="s">
        <v>110</v>
      </c>
      <c r="J50" t="s">
        <v>61</v>
      </c>
      <c r="K50" t="s">
        <v>147</v>
      </c>
      <c r="L50" t="s">
        <v>32</v>
      </c>
      <c r="M50" t="s">
        <v>56</v>
      </c>
      <c r="N50">
        <v>5</v>
      </c>
      <c r="O50" t="s">
        <v>34</v>
      </c>
      <c r="P50" t="s">
        <v>35</v>
      </c>
      <c r="Q50" t="s">
        <v>64</v>
      </c>
      <c r="R50" t="s">
        <v>57</v>
      </c>
      <c r="S50" t="s">
        <v>38</v>
      </c>
      <c r="T50">
        <v>11</v>
      </c>
      <c r="U50">
        <v>76471</v>
      </c>
      <c r="V50">
        <v>1</v>
      </c>
      <c r="W50">
        <v>0</v>
      </c>
      <c r="X50">
        <v>1</v>
      </c>
      <c r="Y50">
        <f>IF(tbl_Incidents[[#This Row],[Lost_Time_Days]]&gt;0, 1, 0)</f>
        <v>1</v>
      </c>
      <c r="Z50" s="1">
        <f>DATE(tbl_Incidents[[#This Row],[Year]], tbl_Incidents[[#This Row],[Month]], 1)</f>
        <v>45200</v>
      </c>
      <c r="AA50" t="str">
        <f t="shared" si="0"/>
        <v>Katherine Processing Site|2023-10</v>
      </c>
    </row>
    <row r="51" spans="1:27" x14ac:dyDescent="0.35">
      <c r="A51" t="s">
        <v>148</v>
      </c>
      <c r="B51" s="1">
        <v>45413</v>
      </c>
      <c r="C51">
        <v>2024</v>
      </c>
      <c r="D51">
        <v>5</v>
      </c>
      <c r="E51" t="s">
        <v>109</v>
      </c>
      <c r="F51" t="s">
        <v>41</v>
      </c>
      <c r="G51" t="s">
        <v>27</v>
      </c>
      <c r="H51" t="s">
        <v>86</v>
      </c>
      <c r="I51" t="s">
        <v>110</v>
      </c>
      <c r="J51" t="s">
        <v>61</v>
      </c>
      <c r="K51" t="s">
        <v>147</v>
      </c>
      <c r="L51" t="s">
        <v>103</v>
      </c>
      <c r="M51" t="s">
        <v>33</v>
      </c>
      <c r="N51">
        <v>9</v>
      </c>
      <c r="O51" t="s">
        <v>34</v>
      </c>
      <c r="P51" t="s">
        <v>35</v>
      </c>
      <c r="Q51" t="s">
        <v>36</v>
      </c>
      <c r="R51" t="s">
        <v>57</v>
      </c>
      <c r="S51" t="s">
        <v>38</v>
      </c>
      <c r="T51">
        <v>9</v>
      </c>
      <c r="U51">
        <v>66130</v>
      </c>
      <c r="V51">
        <v>1</v>
      </c>
      <c r="W51">
        <v>0</v>
      </c>
      <c r="X51">
        <v>1</v>
      </c>
      <c r="Y51">
        <f>IF(tbl_Incidents[[#This Row],[Lost_Time_Days]]&gt;0, 1, 0)</f>
        <v>1</v>
      </c>
      <c r="Z51" s="1">
        <f>DATE(tbl_Incidents[[#This Row],[Year]], tbl_Incidents[[#This Row],[Month]], 1)</f>
        <v>45413</v>
      </c>
      <c r="AA51" t="str">
        <f t="shared" si="0"/>
        <v>Thunderbird Mine|2024-05</v>
      </c>
    </row>
    <row r="52" spans="1:27" x14ac:dyDescent="0.35">
      <c r="A52" t="s">
        <v>149</v>
      </c>
      <c r="B52" s="1">
        <v>45198</v>
      </c>
      <c r="C52">
        <v>2023</v>
      </c>
      <c r="D52">
        <v>9</v>
      </c>
      <c r="E52" t="s">
        <v>97</v>
      </c>
      <c r="F52" t="s">
        <v>67</v>
      </c>
      <c r="G52" t="s">
        <v>42</v>
      </c>
      <c r="H52" t="s">
        <v>73</v>
      </c>
      <c r="I52" t="s">
        <v>44</v>
      </c>
      <c r="J52" t="s">
        <v>30</v>
      </c>
      <c r="K52" t="s">
        <v>31</v>
      </c>
      <c r="L52" t="s">
        <v>74</v>
      </c>
      <c r="M52" t="s">
        <v>46</v>
      </c>
      <c r="N52">
        <v>0</v>
      </c>
      <c r="O52" t="s">
        <v>34</v>
      </c>
      <c r="P52" t="s">
        <v>47</v>
      </c>
      <c r="Q52" t="s">
        <v>81</v>
      </c>
      <c r="R52" t="s">
        <v>57</v>
      </c>
      <c r="S52" t="s">
        <v>38</v>
      </c>
      <c r="T52">
        <v>12</v>
      </c>
      <c r="U52">
        <v>119593</v>
      </c>
      <c r="V52">
        <v>0</v>
      </c>
      <c r="W52">
        <v>0</v>
      </c>
      <c r="X52">
        <v>0</v>
      </c>
      <c r="Y52">
        <f>IF(tbl_Incidents[[#This Row],[Lost_Time_Days]]&gt;0, 1, 0)</f>
        <v>0</v>
      </c>
      <c r="Z52" s="1">
        <f>DATE(tbl_Incidents[[#This Row],[Year]], tbl_Incidents[[#This Row],[Month]], 1)</f>
        <v>45170</v>
      </c>
      <c r="AA52" t="str">
        <f t="shared" si="0"/>
        <v>Darwin Port Facility|2023-09</v>
      </c>
    </row>
    <row r="53" spans="1:27" x14ac:dyDescent="0.35">
      <c r="A53" t="s">
        <v>150</v>
      </c>
      <c r="B53" s="1">
        <v>45327</v>
      </c>
      <c r="C53">
        <v>2024</v>
      </c>
      <c r="D53">
        <v>2</v>
      </c>
      <c r="E53" t="s">
        <v>52</v>
      </c>
      <c r="F53" t="s">
        <v>53</v>
      </c>
      <c r="G53" t="s">
        <v>27</v>
      </c>
      <c r="H53" t="s">
        <v>73</v>
      </c>
      <c r="I53" t="s">
        <v>79</v>
      </c>
      <c r="J53" t="s">
        <v>30</v>
      </c>
      <c r="K53" t="s">
        <v>31</v>
      </c>
      <c r="L53" t="s">
        <v>32</v>
      </c>
      <c r="M53" t="s">
        <v>33</v>
      </c>
      <c r="N53">
        <v>0</v>
      </c>
      <c r="O53" t="s">
        <v>90</v>
      </c>
      <c r="P53" t="s">
        <v>35</v>
      </c>
      <c r="Q53" t="s">
        <v>81</v>
      </c>
      <c r="R53" t="s">
        <v>37</v>
      </c>
      <c r="S53" t="s">
        <v>88</v>
      </c>
      <c r="T53">
        <v>11</v>
      </c>
      <c r="U53">
        <v>65995</v>
      </c>
      <c r="V53">
        <v>0</v>
      </c>
      <c r="W53">
        <v>0</v>
      </c>
      <c r="X53">
        <v>0</v>
      </c>
      <c r="Y53">
        <f>IF(tbl_Incidents[[#This Row],[Lost_Time_Days]]&gt;0, 1, 0)</f>
        <v>0</v>
      </c>
      <c r="Z53" s="1">
        <f>DATE(tbl_Incidents[[#This Row],[Year]], tbl_Incidents[[#This Row],[Month]], 1)</f>
        <v>45323</v>
      </c>
      <c r="AA53" t="str">
        <f t="shared" si="0"/>
        <v>Thunderbird Mine|2024-02</v>
      </c>
    </row>
    <row r="54" spans="1:27" x14ac:dyDescent="0.35">
      <c r="A54" t="s">
        <v>151</v>
      </c>
      <c r="B54" s="1">
        <v>44639</v>
      </c>
      <c r="C54">
        <v>2022</v>
      </c>
      <c r="D54">
        <v>3</v>
      </c>
      <c r="E54" t="s">
        <v>125</v>
      </c>
      <c r="F54" t="s">
        <v>53</v>
      </c>
      <c r="G54" t="s">
        <v>42</v>
      </c>
      <c r="H54" t="s">
        <v>68</v>
      </c>
      <c r="I54" t="s">
        <v>98</v>
      </c>
      <c r="J54" t="s">
        <v>30</v>
      </c>
      <c r="K54" t="s">
        <v>31</v>
      </c>
      <c r="L54" t="s">
        <v>32</v>
      </c>
      <c r="M54" t="s">
        <v>46</v>
      </c>
      <c r="N54">
        <v>0</v>
      </c>
      <c r="O54" t="s">
        <v>90</v>
      </c>
      <c r="P54" t="s">
        <v>35</v>
      </c>
      <c r="Q54" t="s">
        <v>76</v>
      </c>
      <c r="R54" t="s">
        <v>57</v>
      </c>
      <c r="S54" t="s">
        <v>38</v>
      </c>
      <c r="T54">
        <v>12</v>
      </c>
      <c r="U54">
        <v>96148</v>
      </c>
      <c r="V54">
        <v>0</v>
      </c>
      <c r="W54">
        <v>0</v>
      </c>
      <c r="X54">
        <v>0</v>
      </c>
      <c r="Y54">
        <f>IF(tbl_Incidents[[#This Row],[Lost_Time_Days]]&gt;0, 1, 0)</f>
        <v>0</v>
      </c>
      <c r="Z54" s="1">
        <f>DATE(tbl_Incidents[[#This Row],[Year]], tbl_Incidents[[#This Row],[Month]], 1)</f>
        <v>44621</v>
      </c>
      <c r="AA54" t="str">
        <f t="shared" si="0"/>
        <v>Darwin Port Facility|2022-03</v>
      </c>
    </row>
    <row r="55" spans="1:27" x14ac:dyDescent="0.35">
      <c r="A55" t="s">
        <v>152</v>
      </c>
      <c r="B55" s="1">
        <v>45239</v>
      </c>
      <c r="C55">
        <v>2023</v>
      </c>
      <c r="D55">
        <v>11</v>
      </c>
      <c r="E55" t="s">
        <v>107</v>
      </c>
      <c r="F55" t="s">
        <v>26</v>
      </c>
      <c r="G55" t="s">
        <v>27</v>
      </c>
      <c r="H55" t="s">
        <v>43</v>
      </c>
      <c r="I55" t="s">
        <v>60</v>
      </c>
      <c r="J55" t="s">
        <v>61</v>
      </c>
      <c r="K55" t="s">
        <v>117</v>
      </c>
      <c r="L55" t="s">
        <v>45</v>
      </c>
      <c r="M55" t="s">
        <v>56</v>
      </c>
      <c r="N55">
        <v>0</v>
      </c>
      <c r="O55" t="s">
        <v>70</v>
      </c>
      <c r="P55" t="s">
        <v>47</v>
      </c>
      <c r="Q55" t="s">
        <v>36</v>
      </c>
      <c r="R55" t="s">
        <v>49</v>
      </c>
      <c r="S55" t="s">
        <v>38</v>
      </c>
      <c r="T55">
        <v>11</v>
      </c>
      <c r="U55">
        <v>60052</v>
      </c>
      <c r="V55">
        <v>1</v>
      </c>
      <c r="W55">
        <v>0</v>
      </c>
      <c r="X55">
        <v>0</v>
      </c>
      <c r="Y55">
        <f>IF(tbl_Incidents[[#This Row],[Lost_Time_Days]]&gt;0, 1, 0)</f>
        <v>0</v>
      </c>
      <c r="Z55" s="1">
        <f>DATE(tbl_Incidents[[#This Row],[Year]], tbl_Incidents[[#This Row],[Month]], 1)</f>
        <v>45231</v>
      </c>
      <c r="AA55" t="str">
        <f t="shared" si="0"/>
        <v>Thunderbird Mine|2023-11</v>
      </c>
    </row>
    <row r="56" spans="1:27" x14ac:dyDescent="0.35">
      <c r="A56" t="s">
        <v>153</v>
      </c>
      <c r="B56" s="1">
        <v>45007</v>
      </c>
      <c r="C56">
        <v>2023</v>
      </c>
      <c r="D56">
        <v>3</v>
      </c>
      <c r="E56" t="s">
        <v>125</v>
      </c>
      <c r="F56" t="s">
        <v>53</v>
      </c>
      <c r="G56" t="s">
        <v>78</v>
      </c>
      <c r="H56" t="s">
        <v>28</v>
      </c>
      <c r="I56" t="s">
        <v>44</v>
      </c>
      <c r="J56" t="s">
        <v>30</v>
      </c>
      <c r="K56" t="s">
        <v>62</v>
      </c>
      <c r="L56" t="s">
        <v>95</v>
      </c>
      <c r="M56" t="s">
        <v>46</v>
      </c>
      <c r="N56">
        <v>0</v>
      </c>
      <c r="O56" t="s">
        <v>70</v>
      </c>
      <c r="P56" t="s">
        <v>47</v>
      </c>
      <c r="Q56" t="s">
        <v>64</v>
      </c>
      <c r="R56" t="s">
        <v>49</v>
      </c>
      <c r="S56" t="s">
        <v>50</v>
      </c>
      <c r="T56">
        <v>10</v>
      </c>
      <c r="U56">
        <v>82245</v>
      </c>
      <c r="V56">
        <v>0</v>
      </c>
      <c r="W56">
        <v>0</v>
      </c>
      <c r="X56">
        <v>0</v>
      </c>
      <c r="Y56">
        <f>IF(tbl_Incidents[[#This Row],[Lost_Time_Days]]&gt;0, 1, 0)</f>
        <v>0</v>
      </c>
      <c r="Z56" s="1">
        <f>DATE(tbl_Incidents[[#This Row],[Year]], tbl_Incidents[[#This Row],[Month]], 1)</f>
        <v>44986</v>
      </c>
      <c r="AA56" t="str">
        <f t="shared" si="0"/>
        <v>Broome Logistics Hub|2023-03</v>
      </c>
    </row>
    <row r="57" spans="1:27" x14ac:dyDescent="0.35">
      <c r="A57" t="s">
        <v>154</v>
      </c>
      <c r="B57" s="1">
        <v>45434</v>
      </c>
      <c r="C57">
        <v>2024</v>
      </c>
      <c r="D57">
        <v>5</v>
      </c>
      <c r="E57" t="s">
        <v>109</v>
      </c>
      <c r="F57" t="s">
        <v>41</v>
      </c>
      <c r="G57" t="s">
        <v>27</v>
      </c>
      <c r="H57" t="s">
        <v>120</v>
      </c>
      <c r="I57" t="s">
        <v>44</v>
      </c>
      <c r="J57" t="s">
        <v>30</v>
      </c>
      <c r="K57" t="s">
        <v>31</v>
      </c>
      <c r="L57" t="s">
        <v>100</v>
      </c>
      <c r="M57" t="s">
        <v>56</v>
      </c>
      <c r="N57">
        <v>0</v>
      </c>
      <c r="O57" t="s">
        <v>90</v>
      </c>
      <c r="P57" t="s">
        <v>47</v>
      </c>
      <c r="Q57" t="s">
        <v>81</v>
      </c>
      <c r="R57" t="s">
        <v>57</v>
      </c>
      <c r="S57" t="s">
        <v>88</v>
      </c>
      <c r="T57">
        <v>10</v>
      </c>
      <c r="U57">
        <v>63834</v>
      </c>
      <c r="V57">
        <v>0</v>
      </c>
      <c r="W57">
        <v>0</v>
      </c>
      <c r="X57">
        <v>0</v>
      </c>
      <c r="Y57">
        <f>IF(tbl_Incidents[[#This Row],[Lost_Time_Days]]&gt;0, 1, 0)</f>
        <v>0</v>
      </c>
      <c r="Z57" s="1">
        <f>DATE(tbl_Incidents[[#This Row],[Year]], tbl_Incidents[[#This Row],[Month]], 1)</f>
        <v>45413</v>
      </c>
      <c r="AA57" t="str">
        <f t="shared" si="0"/>
        <v>Thunderbird Mine|2024-05</v>
      </c>
    </row>
    <row r="58" spans="1:27" x14ac:dyDescent="0.35">
      <c r="A58" t="s">
        <v>155</v>
      </c>
      <c r="B58" s="1">
        <v>45061</v>
      </c>
      <c r="C58">
        <v>2023</v>
      </c>
      <c r="D58">
        <v>5</v>
      </c>
      <c r="E58" t="s">
        <v>109</v>
      </c>
      <c r="F58" t="s">
        <v>41</v>
      </c>
      <c r="G58" t="s">
        <v>59</v>
      </c>
      <c r="H58" t="s">
        <v>120</v>
      </c>
      <c r="I58" t="s">
        <v>44</v>
      </c>
      <c r="J58" t="s">
        <v>30</v>
      </c>
      <c r="K58" t="s">
        <v>117</v>
      </c>
      <c r="L58" t="s">
        <v>32</v>
      </c>
      <c r="M58" t="s">
        <v>46</v>
      </c>
      <c r="N58">
        <v>0</v>
      </c>
      <c r="O58" t="s">
        <v>75</v>
      </c>
      <c r="P58" t="s">
        <v>91</v>
      </c>
      <c r="Q58" t="s">
        <v>76</v>
      </c>
      <c r="R58" t="s">
        <v>57</v>
      </c>
      <c r="S58" t="s">
        <v>50</v>
      </c>
      <c r="T58">
        <v>9</v>
      </c>
      <c r="U58">
        <v>51221</v>
      </c>
      <c r="V58">
        <v>0</v>
      </c>
      <c r="W58">
        <v>0</v>
      </c>
      <c r="X58">
        <v>0</v>
      </c>
      <c r="Y58">
        <f>IF(tbl_Incidents[[#This Row],[Lost_Time_Days]]&gt;0, 1, 0)</f>
        <v>0</v>
      </c>
      <c r="Z58" s="1">
        <f>DATE(tbl_Incidents[[#This Row],[Year]], tbl_Incidents[[#This Row],[Month]], 1)</f>
        <v>45047</v>
      </c>
      <c r="AA58" t="str">
        <f t="shared" si="0"/>
        <v>Pilbara Crusher Plant|2023-05</v>
      </c>
    </row>
    <row r="59" spans="1:27" x14ac:dyDescent="0.35">
      <c r="A59" t="s">
        <v>156</v>
      </c>
      <c r="B59" s="1">
        <v>44809</v>
      </c>
      <c r="C59">
        <v>2022</v>
      </c>
      <c r="D59">
        <v>9</v>
      </c>
      <c r="E59" t="s">
        <v>97</v>
      </c>
      <c r="F59" t="s">
        <v>67</v>
      </c>
      <c r="G59" t="s">
        <v>105</v>
      </c>
      <c r="H59" t="s">
        <v>86</v>
      </c>
      <c r="I59" t="s">
        <v>79</v>
      </c>
      <c r="J59" t="s">
        <v>30</v>
      </c>
      <c r="K59" t="s">
        <v>31</v>
      </c>
      <c r="L59" t="s">
        <v>103</v>
      </c>
      <c r="M59" t="s">
        <v>33</v>
      </c>
      <c r="N59">
        <v>0</v>
      </c>
      <c r="O59" t="s">
        <v>75</v>
      </c>
      <c r="P59" t="s">
        <v>47</v>
      </c>
      <c r="Q59" t="s">
        <v>64</v>
      </c>
      <c r="R59" t="s">
        <v>49</v>
      </c>
      <c r="S59" t="s">
        <v>38</v>
      </c>
      <c r="T59">
        <v>8</v>
      </c>
      <c r="U59">
        <v>78566</v>
      </c>
      <c r="V59">
        <v>0</v>
      </c>
      <c r="W59">
        <v>0</v>
      </c>
      <c r="X59">
        <v>0</v>
      </c>
      <c r="Y59">
        <f>IF(tbl_Incidents[[#This Row],[Lost_Time_Days]]&gt;0, 1, 0)</f>
        <v>0</v>
      </c>
      <c r="Z59" s="1">
        <f>DATE(tbl_Incidents[[#This Row],[Year]], tbl_Incidents[[#This Row],[Month]], 1)</f>
        <v>44805</v>
      </c>
      <c r="AA59" t="str">
        <f t="shared" si="0"/>
        <v>Katherine Processing Site|2022-09</v>
      </c>
    </row>
    <row r="60" spans="1:27" x14ac:dyDescent="0.35">
      <c r="A60" t="s">
        <v>157</v>
      </c>
      <c r="B60" s="1">
        <v>44788</v>
      </c>
      <c r="C60">
        <v>2022</v>
      </c>
      <c r="D60">
        <v>8</v>
      </c>
      <c r="E60" t="s">
        <v>66</v>
      </c>
      <c r="F60" t="s">
        <v>67</v>
      </c>
      <c r="G60" t="s">
        <v>42</v>
      </c>
      <c r="H60" t="s">
        <v>120</v>
      </c>
      <c r="I60" t="s">
        <v>110</v>
      </c>
      <c r="J60" t="s">
        <v>61</v>
      </c>
      <c r="K60" t="s">
        <v>31</v>
      </c>
      <c r="L60" t="s">
        <v>80</v>
      </c>
      <c r="M60" t="s">
        <v>56</v>
      </c>
      <c r="N60">
        <v>23</v>
      </c>
      <c r="O60" t="s">
        <v>90</v>
      </c>
      <c r="P60" t="s">
        <v>91</v>
      </c>
      <c r="Q60" t="s">
        <v>64</v>
      </c>
      <c r="R60" t="s">
        <v>37</v>
      </c>
      <c r="S60" t="s">
        <v>38</v>
      </c>
      <c r="T60">
        <v>10</v>
      </c>
      <c r="U60">
        <v>99473</v>
      </c>
      <c r="V60">
        <v>1</v>
      </c>
      <c r="W60">
        <v>0</v>
      </c>
      <c r="X60">
        <v>0</v>
      </c>
      <c r="Y60">
        <f>IF(tbl_Incidents[[#This Row],[Lost_Time_Days]]&gt;0, 1, 0)</f>
        <v>1</v>
      </c>
      <c r="Z60" s="1">
        <f>DATE(tbl_Incidents[[#This Row],[Year]], tbl_Incidents[[#This Row],[Month]], 1)</f>
        <v>44774</v>
      </c>
      <c r="AA60" t="str">
        <f t="shared" si="0"/>
        <v>Darwin Port Facility|2022-08</v>
      </c>
    </row>
    <row r="61" spans="1:27" x14ac:dyDescent="0.35">
      <c r="A61" t="s">
        <v>158</v>
      </c>
      <c r="B61" s="1">
        <v>44819</v>
      </c>
      <c r="C61">
        <v>2022</v>
      </c>
      <c r="D61">
        <v>9</v>
      </c>
      <c r="E61" t="s">
        <v>97</v>
      </c>
      <c r="F61" t="s">
        <v>67</v>
      </c>
      <c r="G61" t="s">
        <v>27</v>
      </c>
      <c r="H61" t="s">
        <v>28</v>
      </c>
      <c r="I61" t="s">
        <v>44</v>
      </c>
      <c r="J61" t="s">
        <v>30</v>
      </c>
      <c r="K61" t="s">
        <v>69</v>
      </c>
      <c r="L61" t="s">
        <v>80</v>
      </c>
      <c r="M61" t="s">
        <v>33</v>
      </c>
      <c r="N61">
        <v>0</v>
      </c>
      <c r="O61" t="s">
        <v>75</v>
      </c>
      <c r="P61" t="s">
        <v>35</v>
      </c>
      <c r="Q61" t="s">
        <v>48</v>
      </c>
      <c r="R61" t="s">
        <v>57</v>
      </c>
      <c r="S61" t="s">
        <v>88</v>
      </c>
      <c r="T61">
        <v>10</v>
      </c>
      <c r="U61">
        <v>117278</v>
      </c>
      <c r="V61">
        <v>0</v>
      </c>
      <c r="W61">
        <v>0</v>
      </c>
      <c r="X61">
        <v>0</v>
      </c>
      <c r="Y61">
        <f>IF(tbl_Incidents[[#This Row],[Lost_Time_Days]]&gt;0, 1, 0)</f>
        <v>0</v>
      </c>
      <c r="Z61" s="1">
        <f>DATE(tbl_Incidents[[#This Row],[Year]], tbl_Incidents[[#This Row],[Month]], 1)</f>
        <v>44805</v>
      </c>
      <c r="AA61" t="str">
        <f t="shared" si="0"/>
        <v>Thunderbird Mine|2022-09</v>
      </c>
    </row>
    <row r="62" spans="1:27" x14ac:dyDescent="0.35">
      <c r="A62" t="s">
        <v>159</v>
      </c>
      <c r="B62" s="1">
        <v>45340</v>
      </c>
      <c r="C62">
        <v>2024</v>
      </c>
      <c r="D62">
        <v>2</v>
      </c>
      <c r="E62" t="s">
        <v>52</v>
      </c>
      <c r="F62" t="s">
        <v>53</v>
      </c>
      <c r="G62" t="s">
        <v>78</v>
      </c>
      <c r="H62" t="s">
        <v>120</v>
      </c>
      <c r="I62" t="s">
        <v>98</v>
      </c>
      <c r="J62" t="s">
        <v>30</v>
      </c>
      <c r="K62" t="s">
        <v>31</v>
      </c>
      <c r="L62" t="s">
        <v>74</v>
      </c>
      <c r="M62" t="s">
        <v>33</v>
      </c>
      <c r="N62">
        <v>0</v>
      </c>
      <c r="O62" t="s">
        <v>34</v>
      </c>
      <c r="P62" t="s">
        <v>35</v>
      </c>
      <c r="Q62" t="s">
        <v>81</v>
      </c>
      <c r="R62" t="s">
        <v>57</v>
      </c>
      <c r="S62" t="s">
        <v>38</v>
      </c>
      <c r="T62">
        <v>8</v>
      </c>
      <c r="U62">
        <v>110010</v>
      </c>
      <c r="V62">
        <v>0</v>
      </c>
      <c r="W62">
        <v>0</v>
      </c>
      <c r="X62">
        <v>0</v>
      </c>
      <c r="Y62">
        <f>IF(tbl_Incidents[[#This Row],[Lost_Time_Days]]&gt;0, 1, 0)</f>
        <v>0</v>
      </c>
      <c r="Z62" s="1">
        <f>DATE(tbl_Incidents[[#This Row],[Year]], tbl_Incidents[[#This Row],[Month]], 1)</f>
        <v>45323</v>
      </c>
      <c r="AA62" t="str">
        <f t="shared" si="0"/>
        <v>Broome Logistics Hub|2024-02</v>
      </c>
    </row>
    <row r="63" spans="1:27" x14ac:dyDescent="0.35">
      <c r="A63" t="s">
        <v>160</v>
      </c>
      <c r="B63" s="1">
        <v>44691</v>
      </c>
      <c r="C63">
        <v>2022</v>
      </c>
      <c r="D63">
        <v>5</v>
      </c>
      <c r="E63" t="s">
        <v>109</v>
      </c>
      <c r="F63" t="s">
        <v>41</v>
      </c>
      <c r="G63" t="s">
        <v>27</v>
      </c>
      <c r="H63" t="s">
        <v>68</v>
      </c>
      <c r="I63" t="s">
        <v>60</v>
      </c>
      <c r="J63" t="s">
        <v>61</v>
      </c>
      <c r="K63" t="s">
        <v>31</v>
      </c>
      <c r="L63" t="s">
        <v>32</v>
      </c>
      <c r="M63" t="s">
        <v>46</v>
      </c>
      <c r="N63">
        <v>0</v>
      </c>
      <c r="O63" t="s">
        <v>34</v>
      </c>
      <c r="P63" t="s">
        <v>47</v>
      </c>
      <c r="Q63" t="s">
        <v>36</v>
      </c>
      <c r="R63" t="s">
        <v>57</v>
      </c>
      <c r="S63" t="s">
        <v>50</v>
      </c>
      <c r="T63">
        <v>10</v>
      </c>
      <c r="U63">
        <v>101524</v>
      </c>
      <c r="V63">
        <v>1</v>
      </c>
      <c r="W63">
        <v>0</v>
      </c>
      <c r="X63">
        <v>0</v>
      </c>
      <c r="Y63">
        <f>IF(tbl_Incidents[[#This Row],[Lost_Time_Days]]&gt;0, 1, 0)</f>
        <v>0</v>
      </c>
      <c r="Z63" s="1">
        <f>DATE(tbl_Incidents[[#This Row],[Year]], tbl_Incidents[[#This Row],[Month]], 1)</f>
        <v>44682</v>
      </c>
      <c r="AA63" t="str">
        <f t="shared" si="0"/>
        <v>Thunderbird Mine|2022-05</v>
      </c>
    </row>
    <row r="64" spans="1:27" x14ac:dyDescent="0.35">
      <c r="A64" t="s">
        <v>161</v>
      </c>
      <c r="B64" s="1">
        <v>45052</v>
      </c>
      <c r="C64">
        <v>2023</v>
      </c>
      <c r="D64">
        <v>5</v>
      </c>
      <c r="E64" t="s">
        <v>109</v>
      </c>
      <c r="F64" t="s">
        <v>41</v>
      </c>
      <c r="G64" t="s">
        <v>42</v>
      </c>
      <c r="H64" t="s">
        <v>68</v>
      </c>
      <c r="I64" t="s">
        <v>110</v>
      </c>
      <c r="J64" t="s">
        <v>61</v>
      </c>
      <c r="K64" t="s">
        <v>62</v>
      </c>
      <c r="L64" t="s">
        <v>83</v>
      </c>
      <c r="M64" t="s">
        <v>33</v>
      </c>
      <c r="N64">
        <v>11</v>
      </c>
      <c r="O64" t="s">
        <v>70</v>
      </c>
      <c r="P64" t="s">
        <v>35</v>
      </c>
      <c r="Q64" t="s">
        <v>64</v>
      </c>
      <c r="R64" t="s">
        <v>49</v>
      </c>
      <c r="S64" t="s">
        <v>38</v>
      </c>
      <c r="T64">
        <v>12</v>
      </c>
      <c r="U64">
        <v>47026</v>
      </c>
      <c r="V64">
        <v>1</v>
      </c>
      <c r="W64">
        <v>0</v>
      </c>
      <c r="X64">
        <v>0</v>
      </c>
      <c r="Y64">
        <f>IF(tbl_Incidents[[#This Row],[Lost_Time_Days]]&gt;0, 1, 0)</f>
        <v>1</v>
      </c>
      <c r="Z64" s="1">
        <f>DATE(tbl_Incidents[[#This Row],[Year]], tbl_Incidents[[#This Row],[Month]], 1)</f>
        <v>45047</v>
      </c>
      <c r="AA64" t="str">
        <f t="shared" si="0"/>
        <v>Darwin Port Facility|2023-05</v>
      </c>
    </row>
    <row r="65" spans="1:27" x14ac:dyDescent="0.35">
      <c r="A65" t="s">
        <v>162</v>
      </c>
      <c r="B65" s="1">
        <v>45392</v>
      </c>
      <c r="C65">
        <v>2024</v>
      </c>
      <c r="D65">
        <v>4</v>
      </c>
      <c r="E65" t="s">
        <v>40</v>
      </c>
      <c r="F65" t="s">
        <v>41</v>
      </c>
      <c r="G65" t="s">
        <v>59</v>
      </c>
      <c r="H65" t="s">
        <v>68</v>
      </c>
      <c r="I65" t="s">
        <v>98</v>
      </c>
      <c r="J65" t="s">
        <v>30</v>
      </c>
      <c r="K65" t="s">
        <v>31</v>
      </c>
      <c r="L65" t="s">
        <v>100</v>
      </c>
      <c r="M65" t="s">
        <v>33</v>
      </c>
      <c r="N65">
        <v>0</v>
      </c>
      <c r="O65" t="s">
        <v>90</v>
      </c>
      <c r="P65" t="s">
        <v>47</v>
      </c>
      <c r="Q65" t="s">
        <v>76</v>
      </c>
      <c r="R65" t="s">
        <v>37</v>
      </c>
      <c r="S65" t="s">
        <v>50</v>
      </c>
      <c r="T65">
        <v>9</v>
      </c>
      <c r="U65">
        <v>108494</v>
      </c>
      <c r="V65">
        <v>0</v>
      </c>
      <c r="W65">
        <v>0</v>
      </c>
      <c r="X65">
        <v>0</v>
      </c>
      <c r="Y65">
        <f>IF(tbl_Incidents[[#This Row],[Lost_Time_Days]]&gt;0, 1, 0)</f>
        <v>0</v>
      </c>
      <c r="Z65" s="1">
        <f>DATE(tbl_Incidents[[#This Row],[Year]], tbl_Incidents[[#This Row],[Month]], 1)</f>
        <v>45383</v>
      </c>
      <c r="AA65" t="str">
        <f t="shared" si="0"/>
        <v>Pilbara Crusher Plant|2024-04</v>
      </c>
    </row>
    <row r="66" spans="1:27" x14ac:dyDescent="0.35">
      <c r="A66" t="s">
        <v>163</v>
      </c>
      <c r="B66" s="1">
        <v>44951</v>
      </c>
      <c r="C66">
        <v>2023</v>
      </c>
      <c r="D66">
        <v>1</v>
      </c>
      <c r="E66" t="s">
        <v>129</v>
      </c>
      <c r="F66" t="s">
        <v>53</v>
      </c>
      <c r="G66" t="s">
        <v>105</v>
      </c>
      <c r="H66" t="s">
        <v>120</v>
      </c>
      <c r="I66" t="s">
        <v>110</v>
      </c>
      <c r="J66" t="s">
        <v>61</v>
      </c>
      <c r="K66" t="s">
        <v>31</v>
      </c>
      <c r="L66" t="s">
        <v>55</v>
      </c>
      <c r="M66" t="s">
        <v>56</v>
      </c>
      <c r="N66">
        <v>30</v>
      </c>
      <c r="O66" t="s">
        <v>90</v>
      </c>
      <c r="P66" t="s">
        <v>35</v>
      </c>
      <c r="Q66" t="s">
        <v>76</v>
      </c>
      <c r="R66" t="s">
        <v>57</v>
      </c>
      <c r="S66" t="s">
        <v>38</v>
      </c>
      <c r="T66">
        <v>9</v>
      </c>
      <c r="U66">
        <v>74687</v>
      </c>
      <c r="V66">
        <v>1</v>
      </c>
      <c r="W66">
        <v>0</v>
      </c>
      <c r="X66">
        <v>0</v>
      </c>
      <c r="Y66">
        <f>IF(tbl_Incidents[[#This Row],[Lost_Time_Days]]&gt;0, 1, 0)</f>
        <v>1</v>
      </c>
      <c r="Z66" s="1">
        <f>DATE(tbl_Incidents[[#This Row],[Year]], tbl_Incidents[[#This Row],[Month]], 1)</f>
        <v>44927</v>
      </c>
      <c r="AA66" t="str">
        <f t="shared" ref="AA66:AA129" si="1">G66&amp;"|"&amp;TEXT(Z66,"yyyy-mm")</f>
        <v>Katherine Processing Site|2023-01</v>
      </c>
    </row>
    <row r="67" spans="1:27" x14ac:dyDescent="0.35">
      <c r="A67" t="s">
        <v>164</v>
      </c>
      <c r="B67" s="1">
        <v>44722</v>
      </c>
      <c r="C67">
        <v>2022</v>
      </c>
      <c r="D67">
        <v>6</v>
      </c>
      <c r="E67" t="s">
        <v>72</v>
      </c>
      <c r="F67" t="s">
        <v>41</v>
      </c>
      <c r="G67" t="s">
        <v>42</v>
      </c>
      <c r="H67" t="s">
        <v>43</v>
      </c>
      <c r="I67" t="s">
        <v>44</v>
      </c>
      <c r="J67" t="s">
        <v>30</v>
      </c>
      <c r="K67" t="s">
        <v>165</v>
      </c>
      <c r="L67" t="s">
        <v>93</v>
      </c>
      <c r="M67" t="s">
        <v>33</v>
      </c>
      <c r="N67">
        <v>0</v>
      </c>
      <c r="O67" t="s">
        <v>63</v>
      </c>
      <c r="P67" t="s">
        <v>47</v>
      </c>
      <c r="Q67" t="s">
        <v>76</v>
      </c>
      <c r="R67" t="s">
        <v>49</v>
      </c>
      <c r="S67" t="s">
        <v>38</v>
      </c>
      <c r="T67">
        <v>8</v>
      </c>
      <c r="U67">
        <v>70340</v>
      </c>
      <c r="V67">
        <v>0</v>
      </c>
      <c r="W67">
        <v>0</v>
      </c>
      <c r="X67">
        <v>0</v>
      </c>
      <c r="Y67">
        <f>IF(tbl_Incidents[[#This Row],[Lost_Time_Days]]&gt;0, 1, 0)</f>
        <v>0</v>
      </c>
      <c r="Z67" s="1">
        <f>DATE(tbl_Incidents[[#This Row],[Year]], tbl_Incidents[[#This Row],[Month]], 1)</f>
        <v>44713</v>
      </c>
      <c r="AA67" t="str">
        <f t="shared" si="1"/>
        <v>Darwin Port Facility|2022-06</v>
      </c>
    </row>
    <row r="68" spans="1:27" x14ac:dyDescent="0.35">
      <c r="A68" t="s">
        <v>166</v>
      </c>
      <c r="B68" s="1">
        <v>44857</v>
      </c>
      <c r="C68">
        <v>2022</v>
      </c>
      <c r="D68">
        <v>10</v>
      </c>
      <c r="E68" t="s">
        <v>25</v>
      </c>
      <c r="F68" t="s">
        <v>26</v>
      </c>
      <c r="G68" t="s">
        <v>59</v>
      </c>
      <c r="H68" t="s">
        <v>28</v>
      </c>
      <c r="I68" t="s">
        <v>79</v>
      </c>
      <c r="J68" t="s">
        <v>30</v>
      </c>
      <c r="K68" t="s">
        <v>31</v>
      </c>
      <c r="L68" t="s">
        <v>83</v>
      </c>
      <c r="M68" t="s">
        <v>33</v>
      </c>
      <c r="N68">
        <v>0</v>
      </c>
      <c r="O68" t="s">
        <v>75</v>
      </c>
      <c r="P68" t="s">
        <v>35</v>
      </c>
      <c r="Q68" t="s">
        <v>81</v>
      </c>
      <c r="R68" t="s">
        <v>37</v>
      </c>
      <c r="S68" t="s">
        <v>38</v>
      </c>
      <c r="T68">
        <v>11</v>
      </c>
      <c r="U68">
        <v>55043</v>
      </c>
      <c r="V68">
        <v>0</v>
      </c>
      <c r="W68">
        <v>0</v>
      </c>
      <c r="X68">
        <v>0</v>
      </c>
      <c r="Y68">
        <f>IF(tbl_Incidents[[#This Row],[Lost_Time_Days]]&gt;0, 1, 0)</f>
        <v>0</v>
      </c>
      <c r="Z68" s="1">
        <f>DATE(tbl_Incidents[[#This Row],[Year]], tbl_Incidents[[#This Row],[Month]], 1)</f>
        <v>44835</v>
      </c>
      <c r="AA68" t="str">
        <f t="shared" si="1"/>
        <v>Pilbara Crusher Plant|2022-10</v>
      </c>
    </row>
    <row r="69" spans="1:27" x14ac:dyDescent="0.35">
      <c r="A69" t="s">
        <v>167</v>
      </c>
      <c r="B69" s="1">
        <v>45119</v>
      </c>
      <c r="C69">
        <v>2023</v>
      </c>
      <c r="D69">
        <v>7</v>
      </c>
      <c r="E69" t="s">
        <v>85</v>
      </c>
      <c r="F69" t="s">
        <v>67</v>
      </c>
      <c r="G69" t="s">
        <v>42</v>
      </c>
      <c r="H69" t="s">
        <v>120</v>
      </c>
      <c r="I69" t="s">
        <v>44</v>
      </c>
      <c r="J69" t="s">
        <v>30</v>
      </c>
      <c r="K69" t="s">
        <v>112</v>
      </c>
      <c r="L69" t="s">
        <v>74</v>
      </c>
      <c r="M69" t="s">
        <v>33</v>
      </c>
      <c r="N69">
        <v>0</v>
      </c>
      <c r="O69" t="s">
        <v>34</v>
      </c>
      <c r="P69" t="s">
        <v>91</v>
      </c>
      <c r="Q69" t="s">
        <v>76</v>
      </c>
      <c r="R69" t="s">
        <v>37</v>
      </c>
      <c r="S69" t="s">
        <v>38</v>
      </c>
      <c r="T69">
        <v>11</v>
      </c>
      <c r="U69">
        <v>56299</v>
      </c>
      <c r="V69">
        <v>0</v>
      </c>
      <c r="W69">
        <v>0</v>
      </c>
      <c r="X69">
        <v>0</v>
      </c>
      <c r="Y69">
        <f>IF(tbl_Incidents[[#This Row],[Lost_Time_Days]]&gt;0, 1, 0)</f>
        <v>0</v>
      </c>
      <c r="Z69" s="1">
        <f>DATE(tbl_Incidents[[#This Row],[Year]], tbl_Incidents[[#This Row],[Month]], 1)</f>
        <v>45108</v>
      </c>
      <c r="AA69" t="str">
        <f t="shared" si="1"/>
        <v>Darwin Port Facility|2023-07</v>
      </c>
    </row>
    <row r="70" spans="1:27" x14ac:dyDescent="0.35">
      <c r="A70" t="s">
        <v>168</v>
      </c>
      <c r="B70" s="1">
        <v>45041</v>
      </c>
      <c r="C70">
        <v>2023</v>
      </c>
      <c r="D70">
        <v>4</v>
      </c>
      <c r="E70" t="s">
        <v>40</v>
      </c>
      <c r="F70" t="s">
        <v>41</v>
      </c>
      <c r="G70" t="s">
        <v>59</v>
      </c>
      <c r="H70" t="s">
        <v>28</v>
      </c>
      <c r="I70" t="s">
        <v>79</v>
      </c>
      <c r="J70" t="s">
        <v>30</v>
      </c>
      <c r="K70" t="s">
        <v>31</v>
      </c>
      <c r="L70" t="s">
        <v>55</v>
      </c>
      <c r="M70" t="s">
        <v>56</v>
      </c>
      <c r="N70">
        <v>0</v>
      </c>
      <c r="O70" t="s">
        <v>90</v>
      </c>
      <c r="P70" t="s">
        <v>47</v>
      </c>
      <c r="Q70" t="s">
        <v>64</v>
      </c>
      <c r="R70" t="s">
        <v>57</v>
      </c>
      <c r="S70" t="s">
        <v>50</v>
      </c>
      <c r="T70">
        <v>8</v>
      </c>
      <c r="U70">
        <v>96626</v>
      </c>
      <c r="V70">
        <v>0</v>
      </c>
      <c r="W70">
        <v>0</v>
      </c>
      <c r="X70">
        <v>0</v>
      </c>
      <c r="Y70">
        <f>IF(tbl_Incidents[[#This Row],[Lost_Time_Days]]&gt;0, 1, 0)</f>
        <v>0</v>
      </c>
      <c r="Z70" s="1">
        <f>DATE(tbl_Incidents[[#This Row],[Year]], tbl_Incidents[[#This Row],[Month]], 1)</f>
        <v>45017</v>
      </c>
      <c r="AA70" t="str">
        <f t="shared" si="1"/>
        <v>Pilbara Crusher Plant|2023-04</v>
      </c>
    </row>
    <row r="71" spans="1:27" x14ac:dyDescent="0.35">
      <c r="A71" t="s">
        <v>169</v>
      </c>
      <c r="B71" s="1">
        <v>45314</v>
      </c>
      <c r="C71">
        <v>2024</v>
      </c>
      <c r="D71">
        <v>1</v>
      </c>
      <c r="E71" t="s">
        <v>129</v>
      </c>
      <c r="F71" t="s">
        <v>53</v>
      </c>
      <c r="G71" t="s">
        <v>78</v>
      </c>
      <c r="H71" t="s">
        <v>120</v>
      </c>
      <c r="I71" t="s">
        <v>60</v>
      </c>
      <c r="J71" t="s">
        <v>61</v>
      </c>
      <c r="K71" t="s">
        <v>147</v>
      </c>
      <c r="L71" t="s">
        <v>74</v>
      </c>
      <c r="M71" t="s">
        <v>33</v>
      </c>
      <c r="N71">
        <v>0</v>
      </c>
      <c r="O71" t="s">
        <v>75</v>
      </c>
      <c r="P71" t="s">
        <v>35</v>
      </c>
      <c r="Q71" t="s">
        <v>81</v>
      </c>
      <c r="R71" t="s">
        <v>37</v>
      </c>
      <c r="S71" t="s">
        <v>38</v>
      </c>
      <c r="T71">
        <v>9</v>
      </c>
      <c r="U71">
        <v>101669</v>
      </c>
      <c r="V71">
        <v>1</v>
      </c>
      <c r="W71">
        <v>0</v>
      </c>
      <c r="X71">
        <v>0</v>
      </c>
      <c r="Y71">
        <f>IF(tbl_Incidents[[#This Row],[Lost_Time_Days]]&gt;0, 1, 0)</f>
        <v>0</v>
      </c>
      <c r="Z71" s="1">
        <f>DATE(tbl_Incidents[[#This Row],[Year]], tbl_Incidents[[#This Row],[Month]], 1)</f>
        <v>45292</v>
      </c>
      <c r="AA71" t="str">
        <f t="shared" si="1"/>
        <v>Broome Logistics Hub|2024-01</v>
      </c>
    </row>
    <row r="72" spans="1:27" x14ac:dyDescent="0.35">
      <c r="A72" t="s">
        <v>170</v>
      </c>
      <c r="B72" s="1">
        <v>45093</v>
      </c>
      <c r="C72">
        <v>2023</v>
      </c>
      <c r="D72">
        <v>6</v>
      </c>
      <c r="E72" t="s">
        <v>72</v>
      </c>
      <c r="F72" t="s">
        <v>41</v>
      </c>
      <c r="G72" t="s">
        <v>105</v>
      </c>
      <c r="H72" t="s">
        <v>120</v>
      </c>
      <c r="I72" t="s">
        <v>79</v>
      </c>
      <c r="J72" t="s">
        <v>30</v>
      </c>
      <c r="K72" t="s">
        <v>31</v>
      </c>
      <c r="L72" t="s">
        <v>93</v>
      </c>
      <c r="M72" t="s">
        <v>46</v>
      </c>
      <c r="N72">
        <v>0</v>
      </c>
      <c r="O72" t="s">
        <v>63</v>
      </c>
      <c r="P72" t="s">
        <v>47</v>
      </c>
      <c r="Q72" t="s">
        <v>36</v>
      </c>
      <c r="R72" t="s">
        <v>49</v>
      </c>
      <c r="S72" t="s">
        <v>38</v>
      </c>
      <c r="T72">
        <v>11</v>
      </c>
      <c r="U72">
        <v>83687</v>
      </c>
      <c r="V72">
        <v>0</v>
      </c>
      <c r="W72">
        <v>0</v>
      </c>
      <c r="X72">
        <v>0</v>
      </c>
      <c r="Y72">
        <f>IF(tbl_Incidents[[#This Row],[Lost_Time_Days]]&gt;0, 1, 0)</f>
        <v>0</v>
      </c>
      <c r="Z72" s="1">
        <f>DATE(tbl_Incidents[[#This Row],[Year]], tbl_Incidents[[#This Row],[Month]], 1)</f>
        <v>45078</v>
      </c>
      <c r="AA72" t="str">
        <f t="shared" si="1"/>
        <v>Katherine Processing Site|2023-06</v>
      </c>
    </row>
    <row r="73" spans="1:27" x14ac:dyDescent="0.35">
      <c r="A73" t="s">
        <v>171</v>
      </c>
      <c r="B73" s="1">
        <v>44890</v>
      </c>
      <c r="C73">
        <v>2022</v>
      </c>
      <c r="D73">
        <v>11</v>
      </c>
      <c r="E73" t="s">
        <v>107</v>
      </c>
      <c r="F73" t="s">
        <v>26</v>
      </c>
      <c r="G73" t="s">
        <v>27</v>
      </c>
      <c r="H73" t="s">
        <v>73</v>
      </c>
      <c r="I73" t="s">
        <v>79</v>
      </c>
      <c r="J73" t="s">
        <v>30</v>
      </c>
      <c r="K73" t="s">
        <v>31</v>
      </c>
      <c r="L73" t="s">
        <v>80</v>
      </c>
      <c r="M73" t="s">
        <v>56</v>
      </c>
      <c r="N73">
        <v>0</v>
      </c>
      <c r="O73" t="s">
        <v>75</v>
      </c>
      <c r="P73" t="s">
        <v>47</v>
      </c>
      <c r="Q73" t="s">
        <v>81</v>
      </c>
      <c r="R73" t="s">
        <v>49</v>
      </c>
      <c r="S73" t="s">
        <v>50</v>
      </c>
      <c r="T73">
        <v>8</v>
      </c>
      <c r="U73">
        <v>99614</v>
      </c>
      <c r="V73">
        <v>0</v>
      </c>
      <c r="W73">
        <v>0</v>
      </c>
      <c r="X73">
        <v>0</v>
      </c>
      <c r="Y73">
        <f>IF(tbl_Incidents[[#This Row],[Lost_Time_Days]]&gt;0, 1, 0)</f>
        <v>0</v>
      </c>
      <c r="Z73" s="1">
        <f>DATE(tbl_Incidents[[#This Row],[Year]], tbl_Incidents[[#This Row],[Month]], 1)</f>
        <v>44866</v>
      </c>
      <c r="AA73" t="str">
        <f t="shared" si="1"/>
        <v>Thunderbird Mine|2022-11</v>
      </c>
    </row>
    <row r="74" spans="1:27" x14ac:dyDescent="0.35">
      <c r="A74" t="s">
        <v>172</v>
      </c>
      <c r="B74" s="1">
        <v>44652</v>
      </c>
      <c r="C74">
        <v>2022</v>
      </c>
      <c r="D74">
        <v>4</v>
      </c>
      <c r="E74" t="s">
        <v>40</v>
      </c>
      <c r="F74" t="s">
        <v>41</v>
      </c>
      <c r="G74" t="s">
        <v>59</v>
      </c>
      <c r="H74" t="s">
        <v>120</v>
      </c>
      <c r="I74" t="s">
        <v>60</v>
      </c>
      <c r="J74" t="s">
        <v>61</v>
      </c>
      <c r="K74" t="s">
        <v>165</v>
      </c>
      <c r="L74" t="s">
        <v>55</v>
      </c>
      <c r="M74" t="s">
        <v>46</v>
      </c>
      <c r="N74">
        <v>0</v>
      </c>
      <c r="O74" t="s">
        <v>70</v>
      </c>
      <c r="P74" t="s">
        <v>35</v>
      </c>
      <c r="Q74" t="s">
        <v>76</v>
      </c>
      <c r="R74" t="s">
        <v>49</v>
      </c>
      <c r="S74" t="s">
        <v>88</v>
      </c>
      <c r="T74">
        <v>8</v>
      </c>
      <c r="U74">
        <v>64586</v>
      </c>
      <c r="V74">
        <v>1</v>
      </c>
      <c r="W74">
        <v>0</v>
      </c>
      <c r="X74">
        <v>0</v>
      </c>
      <c r="Y74">
        <f>IF(tbl_Incidents[[#This Row],[Lost_Time_Days]]&gt;0, 1, 0)</f>
        <v>0</v>
      </c>
      <c r="Z74" s="1">
        <f>DATE(tbl_Incidents[[#This Row],[Year]], tbl_Incidents[[#This Row],[Month]], 1)</f>
        <v>44652</v>
      </c>
      <c r="AA74" t="str">
        <f t="shared" si="1"/>
        <v>Pilbara Crusher Plant|2022-04</v>
      </c>
    </row>
    <row r="75" spans="1:27" x14ac:dyDescent="0.35">
      <c r="A75" t="s">
        <v>173</v>
      </c>
      <c r="B75" s="1">
        <v>45092</v>
      </c>
      <c r="C75">
        <v>2023</v>
      </c>
      <c r="D75">
        <v>6</v>
      </c>
      <c r="E75" t="s">
        <v>72</v>
      </c>
      <c r="F75" t="s">
        <v>41</v>
      </c>
      <c r="G75" t="s">
        <v>78</v>
      </c>
      <c r="H75" t="s">
        <v>86</v>
      </c>
      <c r="I75" t="s">
        <v>60</v>
      </c>
      <c r="J75" t="s">
        <v>61</v>
      </c>
      <c r="K75" t="s">
        <v>31</v>
      </c>
      <c r="L75" t="s">
        <v>45</v>
      </c>
      <c r="M75" t="s">
        <v>33</v>
      </c>
      <c r="N75">
        <v>0</v>
      </c>
      <c r="O75" t="s">
        <v>34</v>
      </c>
      <c r="P75" t="s">
        <v>35</v>
      </c>
      <c r="Q75" t="s">
        <v>81</v>
      </c>
      <c r="R75" t="s">
        <v>49</v>
      </c>
      <c r="S75" t="s">
        <v>88</v>
      </c>
      <c r="T75">
        <v>8</v>
      </c>
      <c r="U75">
        <v>43783</v>
      </c>
      <c r="V75">
        <v>1</v>
      </c>
      <c r="W75">
        <v>0</v>
      </c>
      <c r="X75">
        <v>0</v>
      </c>
      <c r="Y75">
        <f>IF(tbl_Incidents[[#This Row],[Lost_Time_Days]]&gt;0, 1, 0)</f>
        <v>0</v>
      </c>
      <c r="Z75" s="1">
        <f>DATE(tbl_Incidents[[#This Row],[Year]], tbl_Incidents[[#This Row],[Month]], 1)</f>
        <v>45078</v>
      </c>
      <c r="AA75" t="str">
        <f t="shared" si="1"/>
        <v>Broome Logistics Hub|2023-06</v>
      </c>
    </row>
    <row r="76" spans="1:27" x14ac:dyDescent="0.35">
      <c r="A76" t="s">
        <v>174</v>
      </c>
      <c r="B76" s="1">
        <v>45207</v>
      </c>
      <c r="C76">
        <v>2023</v>
      </c>
      <c r="D76">
        <v>10</v>
      </c>
      <c r="E76" t="s">
        <v>25</v>
      </c>
      <c r="F76" t="s">
        <v>26</v>
      </c>
      <c r="G76" t="s">
        <v>42</v>
      </c>
      <c r="H76" t="s">
        <v>28</v>
      </c>
      <c r="I76" t="s">
        <v>98</v>
      </c>
      <c r="J76" t="s">
        <v>30</v>
      </c>
      <c r="K76" t="s">
        <v>31</v>
      </c>
      <c r="L76" t="s">
        <v>93</v>
      </c>
      <c r="M76" t="s">
        <v>56</v>
      </c>
      <c r="N76">
        <v>0</v>
      </c>
      <c r="O76" t="s">
        <v>90</v>
      </c>
      <c r="P76" t="s">
        <v>35</v>
      </c>
      <c r="Q76" t="s">
        <v>76</v>
      </c>
      <c r="R76" t="s">
        <v>49</v>
      </c>
      <c r="S76" t="s">
        <v>38</v>
      </c>
      <c r="T76">
        <v>9</v>
      </c>
      <c r="U76">
        <v>54871</v>
      </c>
      <c r="V76">
        <v>0</v>
      </c>
      <c r="W76">
        <v>0</v>
      </c>
      <c r="X76">
        <v>0</v>
      </c>
      <c r="Y76">
        <f>IF(tbl_Incidents[[#This Row],[Lost_Time_Days]]&gt;0, 1, 0)</f>
        <v>0</v>
      </c>
      <c r="Z76" s="1">
        <f>DATE(tbl_Incidents[[#This Row],[Year]], tbl_Incidents[[#This Row],[Month]], 1)</f>
        <v>45200</v>
      </c>
      <c r="AA76" t="str">
        <f t="shared" si="1"/>
        <v>Darwin Port Facility|2023-10</v>
      </c>
    </row>
    <row r="77" spans="1:27" x14ac:dyDescent="0.35">
      <c r="A77" t="s">
        <v>175</v>
      </c>
      <c r="B77" s="1">
        <v>45034</v>
      </c>
      <c r="C77">
        <v>2023</v>
      </c>
      <c r="D77">
        <v>4</v>
      </c>
      <c r="E77" t="s">
        <v>40</v>
      </c>
      <c r="F77" t="s">
        <v>41</v>
      </c>
      <c r="G77" t="s">
        <v>42</v>
      </c>
      <c r="H77" t="s">
        <v>86</v>
      </c>
      <c r="I77" t="s">
        <v>29</v>
      </c>
      <c r="J77" t="s">
        <v>30</v>
      </c>
      <c r="K77" t="s">
        <v>31</v>
      </c>
      <c r="L77" t="s">
        <v>32</v>
      </c>
      <c r="M77" t="s">
        <v>46</v>
      </c>
      <c r="N77">
        <v>0</v>
      </c>
      <c r="O77" t="s">
        <v>75</v>
      </c>
      <c r="P77" t="s">
        <v>91</v>
      </c>
      <c r="Q77" t="s">
        <v>64</v>
      </c>
      <c r="R77" t="s">
        <v>49</v>
      </c>
      <c r="S77" t="s">
        <v>88</v>
      </c>
      <c r="T77">
        <v>9</v>
      </c>
      <c r="U77">
        <v>99871</v>
      </c>
      <c r="V77">
        <v>0</v>
      </c>
      <c r="W77">
        <v>0</v>
      </c>
      <c r="X77">
        <v>0</v>
      </c>
      <c r="Y77">
        <f>IF(tbl_Incidents[[#This Row],[Lost_Time_Days]]&gt;0, 1, 0)</f>
        <v>0</v>
      </c>
      <c r="Z77" s="1">
        <f>DATE(tbl_Incidents[[#This Row],[Year]], tbl_Incidents[[#This Row],[Month]], 1)</f>
        <v>45017</v>
      </c>
      <c r="AA77" t="str">
        <f t="shared" si="1"/>
        <v>Darwin Port Facility|2023-04</v>
      </c>
    </row>
    <row r="78" spans="1:27" x14ac:dyDescent="0.35">
      <c r="A78" t="s">
        <v>176</v>
      </c>
      <c r="B78" s="1">
        <v>44954</v>
      </c>
      <c r="C78">
        <v>2023</v>
      </c>
      <c r="D78">
        <v>1</v>
      </c>
      <c r="E78" t="s">
        <v>129</v>
      </c>
      <c r="F78" t="s">
        <v>53</v>
      </c>
      <c r="G78" t="s">
        <v>78</v>
      </c>
      <c r="H78" t="s">
        <v>43</v>
      </c>
      <c r="I78" t="s">
        <v>44</v>
      </c>
      <c r="J78" t="s">
        <v>30</v>
      </c>
      <c r="K78" t="s">
        <v>112</v>
      </c>
      <c r="L78" t="s">
        <v>74</v>
      </c>
      <c r="M78" t="s">
        <v>56</v>
      </c>
      <c r="N78">
        <v>0</v>
      </c>
      <c r="O78" t="s">
        <v>70</v>
      </c>
      <c r="P78" t="s">
        <v>47</v>
      </c>
      <c r="Q78" t="s">
        <v>81</v>
      </c>
      <c r="R78" t="s">
        <v>37</v>
      </c>
      <c r="S78" t="s">
        <v>38</v>
      </c>
      <c r="T78">
        <v>8</v>
      </c>
      <c r="U78">
        <v>77072</v>
      </c>
      <c r="V78">
        <v>0</v>
      </c>
      <c r="W78">
        <v>0</v>
      </c>
      <c r="X78">
        <v>0</v>
      </c>
      <c r="Y78">
        <f>IF(tbl_Incidents[[#This Row],[Lost_Time_Days]]&gt;0, 1, 0)</f>
        <v>0</v>
      </c>
      <c r="Z78" s="1">
        <f>DATE(tbl_Incidents[[#This Row],[Year]], tbl_Incidents[[#This Row],[Month]], 1)</f>
        <v>44927</v>
      </c>
      <c r="AA78" t="str">
        <f t="shared" si="1"/>
        <v>Broome Logistics Hub|2023-01</v>
      </c>
    </row>
    <row r="79" spans="1:27" x14ac:dyDescent="0.35">
      <c r="A79" t="s">
        <v>177</v>
      </c>
      <c r="B79" s="1">
        <v>45305</v>
      </c>
      <c r="C79">
        <v>2024</v>
      </c>
      <c r="D79">
        <v>1</v>
      </c>
      <c r="E79" t="s">
        <v>129</v>
      </c>
      <c r="F79" t="s">
        <v>53</v>
      </c>
      <c r="G79" t="s">
        <v>78</v>
      </c>
      <c r="H79" t="s">
        <v>43</v>
      </c>
      <c r="I79" t="s">
        <v>60</v>
      </c>
      <c r="J79" t="s">
        <v>61</v>
      </c>
      <c r="K79" t="s">
        <v>31</v>
      </c>
      <c r="L79" t="s">
        <v>93</v>
      </c>
      <c r="M79" t="s">
        <v>56</v>
      </c>
      <c r="N79">
        <v>0</v>
      </c>
      <c r="O79" t="s">
        <v>90</v>
      </c>
      <c r="P79" t="s">
        <v>47</v>
      </c>
      <c r="Q79" t="s">
        <v>81</v>
      </c>
      <c r="R79" t="s">
        <v>57</v>
      </c>
      <c r="S79" t="s">
        <v>50</v>
      </c>
      <c r="T79">
        <v>12</v>
      </c>
      <c r="U79">
        <v>89441</v>
      </c>
      <c r="V79">
        <v>1</v>
      </c>
      <c r="W79">
        <v>0</v>
      </c>
      <c r="X79">
        <v>0</v>
      </c>
      <c r="Y79">
        <f>IF(tbl_Incidents[[#This Row],[Lost_Time_Days]]&gt;0, 1, 0)</f>
        <v>0</v>
      </c>
      <c r="Z79" s="1">
        <f>DATE(tbl_Incidents[[#This Row],[Year]], tbl_Incidents[[#This Row],[Month]], 1)</f>
        <v>45292</v>
      </c>
      <c r="AA79" t="str">
        <f t="shared" si="1"/>
        <v>Broome Logistics Hub|2024-01</v>
      </c>
    </row>
    <row r="80" spans="1:27" x14ac:dyDescent="0.35">
      <c r="A80" t="s">
        <v>178</v>
      </c>
      <c r="B80" s="1">
        <v>45028</v>
      </c>
      <c r="C80">
        <v>2023</v>
      </c>
      <c r="D80">
        <v>4</v>
      </c>
      <c r="E80" t="s">
        <v>40</v>
      </c>
      <c r="F80" t="s">
        <v>41</v>
      </c>
      <c r="G80" t="s">
        <v>42</v>
      </c>
      <c r="H80" t="s">
        <v>28</v>
      </c>
      <c r="I80" t="s">
        <v>60</v>
      </c>
      <c r="J80" t="s">
        <v>61</v>
      </c>
      <c r="K80" t="s">
        <v>69</v>
      </c>
      <c r="L80" t="s">
        <v>95</v>
      </c>
      <c r="M80" t="s">
        <v>56</v>
      </c>
      <c r="N80">
        <v>0</v>
      </c>
      <c r="O80" t="s">
        <v>34</v>
      </c>
      <c r="P80" t="s">
        <v>47</v>
      </c>
      <c r="Q80" t="s">
        <v>36</v>
      </c>
      <c r="R80" t="s">
        <v>57</v>
      </c>
      <c r="S80" t="s">
        <v>88</v>
      </c>
      <c r="T80">
        <v>11</v>
      </c>
      <c r="U80">
        <v>90604</v>
      </c>
      <c r="V80">
        <v>1</v>
      </c>
      <c r="W80">
        <v>0</v>
      </c>
      <c r="X80">
        <v>0</v>
      </c>
      <c r="Y80">
        <f>IF(tbl_Incidents[[#This Row],[Lost_Time_Days]]&gt;0, 1, 0)</f>
        <v>0</v>
      </c>
      <c r="Z80" s="1">
        <f>DATE(tbl_Incidents[[#This Row],[Year]], tbl_Incidents[[#This Row],[Month]], 1)</f>
        <v>45017</v>
      </c>
      <c r="AA80" t="str">
        <f t="shared" si="1"/>
        <v>Darwin Port Facility|2023-04</v>
      </c>
    </row>
    <row r="81" spans="1:27" x14ac:dyDescent="0.35">
      <c r="A81" t="s">
        <v>179</v>
      </c>
      <c r="B81" s="1">
        <v>45241</v>
      </c>
      <c r="C81">
        <v>2023</v>
      </c>
      <c r="D81">
        <v>11</v>
      </c>
      <c r="E81" t="s">
        <v>107</v>
      </c>
      <c r="F81" t="s">
        <v>26</v>
      </c>
      <c r="G81" t="s">
        <v>42</v>
      </c>
      <c r="H81" t="s">
        <v>86</v>
      </c>
      <c r="I81" t="s">
        <v>54</v>
      </c>
      <c r="J81" t="s">
        <v>30</v>
      </c>
      <c r="K81" t="s">
        <v>31</v>
      </c>
      <c r="L81" t="s">
        <v>45</v>
      </c>
      <c r="M81" t="s">
        <v>33</v>
      </c>
      <c r="N81">
        <v>0</v>
      </c>
      <c r="O81" t="s">
        <v>90</v>
      </c>
      <c r="P81" t="s">
        <v>91</v>
      </c>
      <c r="Q81" t="s">
        <v>36</v>
      </c>
      <c r="R81" t="s">
        <v>49</v>
      </c>
      <c r="S81" t="s">
        <v>38</v>
      </c>
      <c r="T81">
        <v>12</v>
      </c>
      <c r="U81">
        <v>99890</v>
      </c>
      <c r="V81">
        <v>0</v>
      </c>
      <c r="W81">
        <v>0</v>
      </c>
      <c r="X81">
        <v>0</v>
      </c>
      <c r="Y81">
        <f>IF(tbl_Incidents[[#This Row],[Lost_Time_Days]]&gt;0, 1, 0)</f>
        <v>0</v>
      </c>
      <c r="Z81" s="1">
        <f>DATE(tbl_Incidents[[#This Row],[Year]], tbl_Incidents[[#This Row],[Month]], 1)</f>
        <v>45231</v>
      </c>
      <c r="AA81" t="str">
        <f t="shared" si="1"/>
        <v>Darwin Port Facility|2023-11</v>
      </c>
    </row>
    <row r="82" spans="1:27" x14ac:dyDescent="0.35">
      <c r="A82" t="s">
        <v>180</v>
      </c>
      <c r="B82" s="1">
        <v>44577</v>
      </c>
      <c r="C82">
        <v>2022</v>
      </c>
      <c r="D82">
        <v>1</v>
      </c>
      <c r="E82" t="s">
        <v>129</v>
      </c>
      <c r="F82" t="s">
        <v>53</v>
      </c>
      <c r="G82" t="s">
        <v>42</v>
      </c>
      <c r="H82" t="s">
        <v>86</v>
      </c>
      <c r="I82" t="s">
        <v>79</v>
      </c>
      <c r="J82" t="s">
        <v>30</v>
      </c>
      <c r="K82" t="s">
        <v>31</v>
      </c>
      <c r="L82" t="s">
        <v>93</v>
      </c>
      <c r="M82" t="s">
        <v>33</v>
      </c>
      <c r="N82">
        <v>0</v>
      </c>
      <c r="O82" t="s">
        <v>63</v>
      </c>
      <c r="P82" t="s">
        <v>91</v>
      </c>
      <c r="Q82" t="s">
        <v>81</v>
      </c>
      <c r="R82" t="s">
        <v>37</v>
      </c>
      <c r="S82" t="s">
        <v>88</v>
      </c>
      <c r="T82">
        <v>8</v>
      </c>
      <c r="U82">
        <v>83065</v>
      </c>
      <c r="V82">
        <v>0</v>
      </c>
      <c r="W82">
        <v>0</v>
      </c>
      <c r="X82">
        <v>0</v>
      </c>
      <c r="Y82">
        <f>IF(tbl_Incidents[[#This Row],[Lost_Time_Days]]&gt;0, 1, 0)</f>
        <v>0</v>
      </c>
      <c r="Z82" s="1">
        <f>DATE(tbl_Incidents[[#This Row],[Year]], tbl_Incidents[[#This Row],[Month]], 1)</f>
        <v>44562</v>
      </c>
      <c r="AA82" t="str">
        <f t="shared" si="1"/>
        <v>Darwin Port Facility|2022-01</v>
      </c>
    </row>
    <row r="83" spans="1:27" x14ac:dyDescent="0.35">
      <c r="A83" t="s">
        <v>181</v>
      </c>
      <c r="B83" s="1">
        <v>45434</v>
      </c>
      <c r="C83">
        <v>2024</v>
      </c>
      <c r="D83">
        <v>5</v>
      </c>
      <c r="E83" t="s">
        <v>109</v>
      </c>
      <c r="F83" t="s">
        <v>41</v>
      </c>
      <c r="G83" t="s">
        <v>78</v>
      </c>
      <c r="H83" t="s">
        <v>86</v>
      </c>
      <c r="I83" t="s">
        <v>79</v>
      </c>
      <c r="J83" t="s">
        <v>30</v>
      </c>
      <c r="K83" t="s">
        <v>31</v>
      </c>
      <c r="L83" t="s">
        <v>80</v>
      </c>
      <c r="M83" t="s">
        <v>46</v>
      </c>
      <c r="N83">
        <v>0</v>
      </c>
      <c r="O83" t="s">
        <v>75</v>
      </c>
      <c r="P83" t="s">
        <v>47</v>
      </c>
      <c r="Q83" t="s">
        <v>76</v>
      </c>
      <c r="R83" t="s">
        <v>57</v>
      </c>
      <c r="S83" t="s">
        <v>50</v>
      </c>
      <c r="T83">
        <v>8</v>
      </c>
      <c r="U83">
        <v>70771</v>
      </c>
      <c r="V83">
        <v>0</v>
      </c>
      <c r="W83">
        <v>0</v>
      </c>
      <c r="X83">
        <v>0</v>
      </c>
      <c r="Y83">
        <f>IF(tbl_Incidents[[#This Row],[Lost_Time_Days]]&gt;0, 1, 0)</f>
        <v>0</v>
      </c>
      <c r="Z83" s="1">
        <f>DATE(tbl_Incidents[[#This Row],[Year]], tbl_Incidents[[#This Row],[Month]], 1)</f>
        <v>45413</v>
      </c>
      <c r="AA83" t="str">
        <f t="shared" si="1"/>
        <v>Broome Logistics Hub|2024-05</v>
      </c>
    </row>
    <row r="84" spans="1:27" x14ac:dyDescent="0.35">
      <c r="A84" t="s">
        <v>182</v>
      </c>
      <c r="B84" s="1">
        <v>45208</v>
      </c>
      <c r="C84">
        <v>2023</v>
      </c>
      <c r="D84">
        <v>10</v>
      </c>
      <c r="E84" t="s">
        <v>25</v>
      </c>
      <c r="F84" t="s">
        <v>26</v>
      </c>
      <c r="G84" t="s">
        <v>59</v>
      </c>
      <c r="H84" t="s">
        <v>73</v>
      </c>
      <c r="I84" t="s">
        <v>79</v>
      </c>
      <c r="J84" t="s">
        <v>30</v>
      </c>
      <c r="K84" t="s">
        <v>31</v>
      </c>
      <c r="L84" t="s">
        <v>74</v>
      </c>
      <c r="M84" t="s">
        <v>56</v>
      </c>
      <c r="N84">
        <v>0</v>
      </c>
      <c r="O84" t="s">
        <v>34</v>
      </c>
      <c r="P84" t="s">
        <v>35</v>
      </c>
      <c r="Q84" t="s">
        <v>64</v>
      </c>
      <c r="R84" t="s">
        <v>57</v>
      </c>
      <c r="S84" t="s">
        <v>38</v>
      </c>
      <c r="T84">
        <v>8</v>
      </c>
      <c r="U84">
        <v>46028</v>
      </c>
      <c r="V84">
        <v>0</v>
      </c>
      <c r="W84">
        <v>0</v>
      </c>
      <c r="X84">
        <v>0</v>
      </c>
      <c r="Y84">
        <f>IF(tbl_Incidents[[#This Row],[Lost_Time_Days]]&gt;0, 1, 0)</f>
        <v>0</v>
      </c>
      <c r="Z84" s="1">
        <f>DATE(tbl_Incidents[[#This Row],[Year]], tbl_Incidents[[#This Row],[Month]], 1)</f>
        <v>45200</v>
      </c>
      <c r="AA84" t="str">
        <f t="shared" si="1"/>
        <v>Pilbara Crusher Plant|2023-10</v>
      </c>
    </row>
    <row r="85" spans="1:27" x14ac:dyDescent="0.35">
      <c r="A85" t="s">
        <v>183</v>
      </c>
      <c r="B85" s="1">
        <v>44894</v>
      </c>
      <c r="C85">
        <v>2022</v>
      </c>
      <c r="D85">
        <v>11</v>
      </c>
      <c r="E85" t="s">
        <v>107</v>
      </c>
      <c r="F85" t="s">
        <v>26</v>
      </c>
      <c r="G85" t="s">
        <v>27</v>
      </c>
      <c r="H85" t="s">
        <v>120</v>
      </c>
      <c r="I85" t="s">
        <v>54</v>
      </c>
      <c r="J85" t="s">
        <v>30</v>
      </c>
      <c r="K85" t="s">
        <v>31</v>
      </c>
      <c r="L85" t="s">
        <v>80</v>
      </c>
      <c r="M85" t="s">
        <v>56</v>
      </c>
      <c r="N85">
        <v>0</v>
      </c>
      <c r="O85" t="s">
        <v>63</v>
      </c>
      <c r="P85" t="s">
        <v>35</v>
      </c>
      <c r="Q85" t="s">
        <v>48</v>
      </c>
      <c r="R85" t="s">
        <v>37</v>
      </c>
      <c r="S85" t="s">
        <v>88</v>
      </c>
      <c r="T85">
        <v>12</v>
      </c>
      <c r="U85">
        <v>63600</v>
      </c>
      <c r="V85">
        <v>0</v>
      </c>
      <c r="W85">
        <v>0</v>
      </c>
      <c r="X85">
        <v>0</v>
      </c>
      <c r="Y85">
        <f>IF(tbl_Incidents[[#This Row],[Lost_Time_Days]]&gt;0, 1, 0)</f>
        <v>0</v>
      </c>
      <c r="Z85" s="1">
        <f>DATE(tbl_Incidents[[#This Row],[Year]], tbl_Incidents[[#This Row],[Month]], 1)</f>
        <v>44866</v>
      </c>
      <c r="AA85" t="str">
        <f t="shared" si="1"/>
        <v>Thunderbird Mine|2022-11</v>
      </c>
    </row>
    <row r="86" spans="1:27" x14ac:dyDescent="0.35">
      <c r="A86" t="s">
        <v>184</v>
      </c>
      <c r="B86" s="1">
        <v>44736</v>
      </c>
      <c r="C86">
        <v>2022</v>
      </c>
      <c r="D86">
        <v>6</v>
      </c>
      <c r="E86" t="s">
        <v>72</v>
      </c>
      <c r="F86" t="s">
        <v>41</v>
      </c>
      <c r="G86" t="s">
        <v>27</v>
      </c>
      <c r="H86" t="s">
        <v>43</v>
      </c>
      <c r="I86" t="s">
        <v>44</v>
      </c>
      <c r="J86" t="s">
        <v>30</v>
      </c>
      <c r="K86" t="s">
        <v>139</v>
      </c>
      <c r="L86" t="s">
        <v>95</v>
      </c>
      <c r="M86" t="s">
        <v>46</v>
      </c>
      <c r="N86">
        <v>0</v>
      </c>
      <c r="O86" t="s">
        <v>34</v>
      </c>
      <c r="P86" t="s">
        <v>47</v>
      </c>
      <c r="Q86" t="s">
        <v>76</v>
      </c>
      <c r="R86" t="s">
        <v>57</v>
      </c>
      <c r="S86" t="s">
        <v>38</v>
      </c>
      <c r="T86">
        <v>11</v>
      </c>
      <c r="U86">
        <v>73289</v>
      </c>
      <c r="V86">
        <v>0</v>
      </c>
      <c r="W86">
        <v>0</v>
      </c>
      <c r="X86">
        <v>0</v>
      </c>
      <c r="Y86">
        <f>IF(tbl_Incidents[[#This Row],[Lost_Time_Days]]&gt;0, 1, 0)</f>
        <v>0</v>
      </c>
      <c r="Z86" s="1">
        <f>DATE(tbl_Incidents[[#This Row],[Year]], tbl_Incidents[[#This Row],[Month]], 1)</f>
        <v>44713</v>
      </c>
      <c r="AA86" t="str">
        <f t="shared" si="1"/>
        <v>Thunderbird Mine|2022-06</v>
      </c>
    </row>
    <row r="87" spans="1:27" x14ac:dyDescent="0.35">
      <c r="A87" t="s">
        <v>185</v>
      </c>
      <c r="B87" s="1">
        <v>45032</v>
      </c>
      <c r="C87">
        <v>2023</v>
      </c>
      <c r="D87">
        <v>4</v>
      </c>
      <c r="E87" t="s">
        <v>40</v>
      </c>
      <c r="F87" t="s">
        <v>41</v>
      </c>
      <c r="G87" t="s">
        <v>27</v>
      </c>
      <c r="H87" t="s">
        <v>86</v>
      </c>
      <c r="I87" t="s">
        <v>60</v>
      </c>
      <c r="J87" t="s">
        <v>61</v>
      </c>
      <c r="K87" t="s">
        <v>62</v>
      </c>
      <c r="L87" t="s">
        <v>103</v>
      </c>
      <c r="M87" t="s">
        <v>33</v>
      </c>
      <c r="N87">
        <v>0</v>
      </c>
      <c r="O87" t="s">
        <v>34</v>
      </c>
      <c r="P87" t="s">
        <v>47</v>
      </c>
      <c r="Q87" t="s">
        <v>81</v>
      </c>
      <c r="R87" t="s">
        <v>37</v>
      </c>
      <c r="S87" t="s">
        <v>38</v>
      </c>
      <c r="T87">
        <v>11</v>
      </c>
      <c r="U87">
        <v>72780</v>
      </c>
      <c r="V87">
        <v>1</v>
      </c>
      <c r="W87">
        <v>0</v>
      </c>
      <c r="X87">
        <v>0</v>
      </c>
      <c r="Y87">
        <f>IF(tbl_Incidents[[#This Row],[Lost_Time_Days]]&gt;0, 1, 0)</f>
        <v>0</v>
      </c>
      <c r="Z87" s="1">
        <f>DATE(tbl_Incidents[[#This Row],[Year]], tbl_Incidents[[#This Row],[Month]], 1)</f>
        <v>45017</v>
      </c>
      <c r="AA87" t="str">
        <f t="shared" si="1"/>
        <v>Thunderbird Mine|2023-04</v>
      </c>
    </row>
    <row r="88" spans="1:27" x14ac:dyDescent="0.35">
      <c r="A88" t="s">
        <v>186</v>
      </c>
      <c r="B88" s="1">
        <v>45029</v>
      </c>
      <c r="C88">
        <v>2023</v>
      </c>
      <c r="D88">
        <v>4</v>
      </c>
      <c r="E88" t="s">
        <v>40</v>
      </c>
      <c r="F88" t="s">
        <v>41</v>
      </c>
      <c r="G88" t="s">
        <v>59</v>
      </c>
      <c r="H88" t="s">
        <v>73</v>
      </c>
      <c r="I88" t="s">
        <v>54</v>
      </c>
      <c r="J88" t="s">
        <v>30</v>
      </c>
      <c r="K88" t="s">
        <v>31</v>
      </c>
      <c r="L88" t="s">
        <v>55</v>
      </c>
      <c r="M88" t="s">
        <v>56</v>
      </c>
      <c r="N88">
        <v>0</v>
      </c>
      <c r="O88" t="s">
        <v>34</v>
      </c>
      <c r="P88" t="s">
        <v>35</v>
      </c>
      <c r="Q88" t="s">
        <v>64</v>
      </c>
      <c r="R88" t="s">
        <v>37</v>
      </c>
      <c r="S88" t="s">
        <v>38</v>
      </c>
      <c r="T88">
        <v>12</v>
      </c>
      <c r="U88">
        <v>78780</v>
      </c>
      <c r="V88">
        <v>0</v>
      </c>
      <c r="W88">
        <v>0</v>
      </c>
      <c r="X88">
        <v>0</v>
      </c>
      <c r="Y88">
        <f>IF(tbl_Incidents[[#This Row],[Lost_Time_Days]]&gt;0, 1, 0)</f>
        <v>0</v>
      </c>
      <c r="Z88" s="1">
        <f>DATE(tbl_Incidents[[#This Row],[Year]], tbl_Incidents[[#This Row],[Month]], 1)</f>
        <v>45017</v>
      </c>
      <c r="AA88" t="str">
        <f t="shared" si="1"/>
        <v>Pilbara Crusher Plant|2023-04</v>
      </c>
    </row>
    <row r="89" spans="1:27" x14ac:dyDescent="0.35">
      <c r="A89" t="s">
        <v>187</v>
      </c>
      <c r="B89" s="1">
        <v>45278</v>
      </c>
      <c r="C89">
        <v>2023</v>
      </c>
      <c r="D89">
        <v>12</v>
      </c>
      <c r="E89" t="s">
        <v>123</v>
      </c>
      <c r="F89" t="s">
        <v>26</v>
      </c>
      <c r="G89" t="s">
        <v>27</v>
      </c>
      <c r="H89" t="s">
        <v>28</v>
      </c>
      <c r="I89" t="s">
        <v>60</v>
      </c>
      <c r="J89" t="s">
        <v>61</v>
      </c>
      <c r="K89" t="s">
        <v>139</v>
      </c>
      <c r="L89" t="s">
        <v>32</v>
      </c>
      <c r="M89" t="s">
        <v>33</v>
      </c>
      <c r="N89">
        <v>0</v>
      </c>
      <c r="O89" t="s">
        <v>90</v>
      </c>
      <c r="P89" t="s">
        <v>35</v>
      </c>
      <c r="Q89" t="s">
        <v>76</v>
      </c>
      <c r="R89" t="s">
        <v>49</v>
      </c>
      <c r="S89" t="s">
        <v>38</v>
      </c>
      <c r="T89">
        <v>9</v>
      </c>
      <c r="U89">
        <v>119569</v>
      </c>
      <c r="V89">
        <v>1</v>
      </c>
      <c r="W89">
        <v>0</v>
      </c>
      <c r="X89">
        <v>0</v>
      </c>
      <c r="Y89">
        <f>IF(tbl_Incidents[[#This Row],[Lost_Time_Days]]&gt;0, 1, 0)</f>
        <v>0</v>
      </c>
      <c r="Z89" s="1">
        <f>DATE(tbl_Incidents[[#This Row],[Year]], tbl_Incidents[[#This Row],[Month]], 1)</f>
        <v>45261</v>
      </c>
      <c r="AA89" t="str">
        <f t="shared" si="1"/>
        <v>Thunderbird Mine|2023-12</v>
      </c>
    </row>
    <row r="90" spans="1:27" x14ac:dyDescent="0.35">
      <c r="A90" t="s">
        <v>188</v>
      </c>
      <c r="B90" s="1">
        <v>45383</v>
      </c>
      <c r="C90">
        <v>2024</v>
      </c>
      <c r="D90">
        <v>4</v>
      </c>
      <c r="E90" t="s">
        <v>40</v>
      </c>
      <c r="F90" t="s">
        <v>41</v>
      </c>
      <c r="G90" t="s">
        <v>42</v>
      </c>
      <c r="H90" t="s">
        <v>28</v>
      </c>
      <c r="I90" t="s">
        <v>60</v>
      </c>
      <c r="J90" t="s">
        <v>61</v>
      </c>
      <c r="K90" t="s">
        <v>69</v>
      </c>
      <c r="L90" t="s">
        <v>95</v>
      </c>
      <c r="M90" t="s">
        <v>56</v>
      </c>
      <c r="N90">
        <v>0</v>
      </c>
      <c r="O90" t="s">
        <v>75</v>
      </c>
      <c r="P90" t="s">
        <v>35</v>
      </c>
      <c r="Q90" t="s">
        <v>36</v>
      </c>
      <c r="R90" t="s">
        <v>57</v>
      </c>
      <c r="S90" t="s">
        <v>38</v>
      </c>
      <c r="T90">
        <v>11</v>
      </c>
      <c r="U90">
        <v>44373</v>
      </c>
      <c r="V90">
        <v>1</v>
      </c>
      <c r="W90">
        <v>0</v>
      </c>
      <c r="X90">
        <v>0</v>
      </c>
      <c r="Y90">
        <f>IF(tbl_Incidents[[#This Row],[Lost_Time_Days]]&gt;0, 1, 0)</f>
        <v>0</v>
      </c>
      <c r="Z90" s="1">
        <f>DATE(tbl_Incidents[[#This Row],[Year]], tbl_Incidents[[#This Row],[Month]], 1)</f>
        <v>45383</v>
      </c>
      <c r="AA90" t="str">
        <f t="shared" si="1"/>
        <v>Darwin Port Facility|2024-04</v>
      </c>
    </row>
    <row r="91" spans="1:27" x14ac:dyDescent="0.35">
      <c r="A91" t="s">
        <v>189</v>
      </c>
      <c r="B91" s="1">
        <v>45155</v>
      </c>
      <c r="C91">
        <v>2023</v>
      </c>
      <c r="D91">
        <v>8</v>
      </c>
      <c r="E91" t="s">
        <v>66</v>
      </c>
      <c r="F91" t="s">
        <v>67</v>
      </c>
      <c r="G91" t="s">
        <v>42</v>
      </c>
      <c r="H91" t="s">
        <v>68</v>
      </c>
      <c r="I91" t="s">
        <v>60</v>
      </c>
      <c r="J91" t="s">
        <v>61</v>
      </c>
      <c r="K91" t="s">
        <v>62</v>
      </c>
      <c r="L91" t="s">
        <v>80</v>
      </c>
      <c r="M91" t="s">
        <v>46</v>
      </c>
      <c r="N91">
        <v>0</v>
      </c>
      <c r="O91" t="s">
        <v>63</v>
      </c>
      <c r="P91" t="s">
        <v>35</v>
      </c>
      <c r="Q91" t="s">
        <v>48</v>
      </c>
      <c r="R91" t="s">
        <v>57</v>
      </c>
      <c r="S91" t="s">
        <v>50</v>
      </c>
      <c r="T91">
        <v>10</v>
      </c>
      <c r="U91">
        <v>109579</v>
      </c>
      <c r="V91">
        <v>1</v>
      </c>
      <c r="W91">
        <v>0</v>
      </c>
      <c r="X91">
        <v>0</v>
      </c>
      <c r="Y91">
        <f>IF(tbl_Incidents[[#This Row],[Lost_Time_Days]]&gt;0, 1, 0)</f>
        <v>0</v>
      </c>
      <c r="Z91" s="1">
        <f>DATE(tbl_Incidents[[#This Row],[Year]], tbl_Incidents[[#This Row],[Month]], 1)</f>
        <v>45139</v>
      </c>
      <c r="AA91" t="str">
        <f t="shared" si="1"/>
        <v>Darwin Port Facility|2023-08</v>
      </c>
    </row>
    <row r="92" spans="1:27" x14ac:dyDescent="0.35">
      <c r="A92" t="s">
        <v>190</v>
      </c>
      <c r="B92" s="1">
        <v>45075</v>
      </c>
      <c r="C92">
        <v>2023</v>
      </c>
      <c r="D92">
        <v>5</v>
      </c>
      <c r="E92" t="s">
        <v>109</v>
      </c>
      <c r="F92" t="s">
        <v>41</v>
      </c>
      <c r="G92" t="s">
        <v>42</v>
      </c>
      <c r="H92" t="s">
        <v>120</v>
      </c>
      <c r="I92" t="s">
        <v>60</v>
      </c>
      <c r="J92" t="s">
        <v>61</v>
      </c>
      <c r="K92" t="s">
        <v>31</v>
      </c>
      <c r="L92" t="s">
        <v>32</v>
      </c>
      <c r="M92" t="s">
        <v>46</v>
      </c>
      <c r="N92">
        <v>0</v>
      </c>
      <c r="O92" t="s">
        <v>70</v>
      </c>
      <c r="P92" t="s">
        <v>91</v>
      </c>
      <c r="Q92" t="s">
        <v>36</v>
      </c>
      <c r="R92" t="s">
        <v>49</v>
      </c>
      <c r="S92" t="s">
        <v>38</v>
      </c>
      <c r="T92">
        <v>9</v>
      </c>
      <c r="U92">
        <v>69571</v>
      </c>
      <c r="V92">
        <v>1</v>
      </c>
      <c r="W92">
        <v>0</v>
      </c>
      <c r="X92">
        <v>0</v>
      </c>
      <c r="Y92">
        <f>IF(tbl_Incidents[[#This Row],[Lost_Time_Days]]&gt;0, 1, 0)</f>
        <v>0</v>
      </c>
      <c r="Z92" s="1">
        <f>DATE(tbl_Incidents[[#This Row],[Year]], tbl_Incidents[[#This Row],[Month]], 1)</f>
        <v>45047</v>
      </c>
      <c r="AA92" t="str">
        <f t="shared" si="1"/>
        <v>Darwin Port Facility|2023-05</v>
      </c>
    </row>
    <row r="93" spans="1:27" x14ac:dyDescent="0.35">
      <c r="A93" t="s">
        <v>191</v>
      </c>
      <c r="B93" s="1">
        <v>45442</v>
      </c>
      <c r="C93">
        <v>2024</v>
      </c>
      <c r="D93">
        <v>5</v>
      </c>
      <c r="E93" t="s">
        <v>109</v>
      </c>
      <c r="F93" t="s">
        <v>41</v>
      </c>
      <c r="G93" t="s">
        <v>105</v>
      </c>
      <c r="H93" t="s">
        <v>43</v>
      </c>
      <c r="I93" t="s">
        <v>79</v>
      </c>
      <c r="J93" t="s">
        <v>30</v>
      </c>
      <c r="K93" t="s">
        <v>31</v>
      </c>
      <c r="L93" t="s">
        <v>80</v>
      </c>
      <c r="M93" t="s">
        <v>33</v>
      </c>
      <c r="N93">
        <v>0</v>
      </c>
      <c r="O93" t="s">
        <v>70</v>
      </c>
      <c r="P93" t="s">
        <v>47</v>
      </c>
      <c r="Q93" t="s">
        <v>36</v>
      </c>
      <c r="R93" t="s">
        <v>57</v>
      </c>
      <c r="S93" t="s">
        <v>50</v>
      </c>
      <c r="T93">
        <v>8</v>
      </c>
      <c r="U93">
        <v>99609</v>
      </c>
      <c r="V93">
        <v>0</v>
      </c>
      <c r="W93">
        <v>0</v>
      </c>
      <c r="X93">
        <v>0</v>
      </c>
      <c r="Y93">
        <f>IF(tbl_Incidents[[#This Row],[Lost_Time_Days]]&gt;0, 1, 0)</f>
        <v>0</v>
      </c>
      <c r="Z93" s="1">
        <f>DATE(tbl_Incidents[[#This Row],[Year]], tbl_Incidents[[#This Row],[Month]], 1)</f>
        <v>45413</v>
      </c>
      <c r="AA93" t="str">
        <f t="shared" si="1"/>
        <v>Katherine Processing Site|2024-05</v>
      </c>
    </row>
    <row r="94" spans="1:27" x14ac:dyDescent="0.35">
      <c r="A94" t="s">
        <v>192</v>
      </c>
      <c r="B94" s="1">
        <v>44939</v>
      </c>
      <c r="C94">
        <v>2023</v>
      </c>
      <c r="D94">
        <v>1</v>
      </c>
      <c r="E94" t="s">
        <v>129</v>
      </c>
      <c r="F94" t="s">
        <v>53</v>
      </c>
      <c r="G94" t="s">
        <v>59</v>
      </c>
      <c r="H94" t="s">
        <v>43</v>
      </c>
      <c r="I94" t="s">
        <v>79</v>
      </c>
      <c r="J94" t="s">
        <v>30</v>
      </c>
      <c r="K94" t="s">
        <v>31</v>
      </c>
      <c r="L94" t="s">
        <v>55</v>
      </c>
      <c r="M94" t="s">
        <v>46</v>
      </c>
      <c r="N94">
        <v>0</v>
      </c>
      <c r="O94" t="s">
        <v>34</v>
      </c>
      <c r="P94" t="s">
        <v>35</v>
      </c>
      <c r="Q94" t="s">
        <v>48</v>
      </c>
      <c r="R94" t="s">
        <v>49</v>
      </c>
      <c r="S94" t="s">
        <v>38</v>
      </c>
      <c r="T94">
        <v>12</v>
      </c>
      <c r="U94">
        <v>113584</v>
      </c>
      <c r="V94">
        <v>0</v>
      </c>
      <c r="W94">
        <v>0</v>
      </c>
      <c r="X94">
        <v>0</v>
      </c>
      <c r="Y94">
        <f>IF(tbl_Incidents[[#This Row],[Lost_Time_Days]]&gt;0, 1, 0)</f>
        <v>0</v>
      </c>
      <c r="Z94" s="1">
        <f>DATE(tbl_Incidents[[#This Row],[Year]], tbl_Incidents[[#This Row],[Month]], 1)</f>
        <v>44927</v>
      </c>
      <c r="AA94" t="str">
        <f t="shared" si="1"/>
        <v>Pilbara Crusher Plant|2023-01</v>
      </c>
    </row>
    <row r="95" spans="1:27" x14ac:dyDescent="0.35">
      <c r="A95" t="s">
        <v>193</v>
      </c>
      <c r="B95" s="1">
        <v>44897</v>
      </c>
      <c r="C95">
        <v>2022</v>
      </c>
      <c r="D95">
        <v>12</v>
      </c>
      <c r="E95" t="s">
        <v>123</v>
      </c>
      <c r="F95" t="s">
        <v>26</v>
      </c>
      <c r="G95" t="s">
        <v>42</v>
      </c>
      <c r="H95" t="s">
        <v>28</v>
      </c>
      <c r="I95" t="s">
        <v>98</v>
      </c>
      <c r="J95" t="s">
        <v>30</v>
      </c>
      <c r="K95" t="s">
        <v>31</v>
      </c>
      <c r="L95" t="s">
        <v>74</v>
      </c>
      <c r="M95" t="s">
        <v>46</v>
      </c>
      <c r="N95">
        <v>0</v>
      </c>
      <c r="O95" t="s">
        <v>70</v>
      </c>
      <c r="P95" t="s">
        <v>47</v>
      </c>
      <c r="Q95" t="s">
        <v>81</v>
      </c>
      <c r="R95" t="s">
        <v>49</v>
      </c>
      <c r="S95" t="s">
        <v>38</v>
      </c>
      <c r="T95">
        <v>9</v>
      </c>
      <c r="U95">
        <v>45943</v>
      </c>
      <c r="V95">
        <v>0</v>
      </c>
      <c r="W95">
        <v>0</v>
      </c>
      <c r="X95">
        <v>0</v>
      </c>
      <c r="Y95">
        <f>IF(tbl_Incidents[[#This Row],[Lost_Time_Days]]&gt;0, 1, 0)</f>
        <v>0</v>
      </c>
      <c r="Z95" s="1">
        <f>DATE(tbl_Incidents[[#This Row],[Year]], tbl_Incidents[[#This Row],[Month]], 1)</f>
        <v>44896</v>
      </c>
      <c r="AA95" t="str">
        <f t="shared" si="1"/>
        <v>Darwin Port Facility|2022-12</v>
      </c>
    </row>
    <row r="96" spans="1:27" x14ac:dyDescent="0.35">
      <c r="A96" t="s">
        <v>194</v>
      </c>
      <c r="B96" s="1">
        <v>44600</v>
      </c>
      <c r="C96">
        <v>2022</v>
      </c>
      <c r="D96">
        <v>2</v>
      </c>
      <c r="E96" t="s">
        <v>52</v>
      </c>
      <c r="F96" t="s">
        <v>53</v>
      </c>
      <c r="G96" t="s">
        <v>105</v>
      </c>
      <c r="H96" t="s">
        <v>68</v>
      </c>
      <c r="I96" t="s">
        <v>60</v>
      </c>
      <c r="J96" t="s">
        <v>61</v>
      </c>
      <c r="K96" t="s">
        <v>165</v>
      </c>
      <c r="L96" t="s">
        <v>100</v>
      </c>
      <c r="M96" t="s">
        <v>46</v>
      </c>
      <c r="N96">
        <v>0</v>
      </c>
      <c r="O96" t="s">
        <v>34</v>
      </c>
      <c r="P96" t="s">
        <v>47</v>
      </c>
      <c r="Q96" t="s">
        <v>64</v>
      </c>
      <c r="R96" t="s">
        <v>57</v>
      </c>
      <c r="S96" t="s">
        <v>50</v>
      </c>
      <c r="T96">
        <v>11</v>
      </c>
      <c r="U96">
        <v>116983</v>
      </c>
      <c r="V96">
        <v>1</v>
      </c>
      <c r="W96">
        <v>0</v>
      </c>
      <c r="X96">
        <v>0</v>
      </c>
      <c r="Y96">
        <f>IF(tbl_Incidents[[#This Row],[Lost_Time_Days]]&gt;0, 1, 0)</f>
        <v>0</v>
      </c>
      <c r="Z96" s="1">
        <f>DATE(tbl_Incidents[[#This Row],[Year]], tbl_Incidents[[#This Row],[Month]], 1)</f>
        <v>44593</v>
      </c>
      <c r="AA96" t="str">
        <f t="shared" si="1"/>
        <v>Katherine Processing Site|2022-02</v>
      </c>
    </row>
    <row r="97" spans="1:27" x14ac:dyDescent="0.35">
      <c r="A97" t="s">
        <v>195</v>
      </c>
      <c r="B97" s="1">
        <v>45322</v>
      </c>
      <c r="C97">
        <v>2024</v>
      </c>
      <c r="D97">
        <v>1</v>
      </c>
      <c r="E97" t="s">
        <v>129</v>
      </c>
      <c r="F97" t="s">
        <v>53</v>
      </c>
      <c r="G97" t="s">
        <v>42</v>
      </c>
      <c r="H97" t="s">
        <v>86</v>
      </c>
      <c r="I97" t="s">
        <v>79</v>
      </c>
      <c r="J97" t="s">
        <v>30</v>
      </c>
      <c r="K97" t="s">
        <v>31</v>
      </c>
      <c r="L97" t="s">
        <v>74</v>
      </c>
      <c r="M97" t="s">
        <v>56</v>
      </c>
      <c r="N97">
        <v>0</v>
      </c>
      <c r="O97" t="s">
        <v>90</v>
      </c>
      <c r="P97" t="s">
        <v>47</v>
      </c>
      <c r="Q97" t="s">
        <v>81</v>
      </c>
      <c r="R97" t="s">
        <v>57</v>
      </c>
      <c r="S97" t="s">
        <v>38</v>
      </c>
      <c r="T97">
        <v>9</v>
      </c>
      <c r="U97">
        <v>98115</v>
      </c>
      <c r="V97">
        <v>0</v>
      </c>
      <c r="W97">
        <v>0</v>
      </c>
      <c r="X97">
        <v>0</v>
      </c>
      <c r="Y97">
        <f>IF(tbl_Incidents[[#This Row],[Lost_Time_Days]]&gt;0, 1, 0)</f>
        <v>0</v>
      </c>
      <c r="Z97" s="1">
        <f>DATE(tbl_Incidents[[#This Row],[Year]], tbl_Incidents[[#This Row],[Month]], 1)</f>
        <v>45292</v>
      </c>
      <c r="AA97" t="str">
        <f t="shared" si="1"/>
        <v>Darwin Port Facility|2024-01</v>
      </c>
    </row>
    <row r="98" spans="1:27" x14ac:dyDescent="0.35">
      <c r="A98" t="s">
        <v>196</v>
      </c>
      <c r="B98" s="1">
        <v>45017</v>
      </c>
      <c r="C98">
        <v>2023</v>
      </c>
      <c r="D98">
        <v>4</v>
      </c>
      <c r="E98" t="s">
        <v>40</v>
      </c>
      <c r="F98" t="s">
        <v>41</v>
      </c>
      <c r="G98" t="s">
        <v>59</v>
      </c>
      <c r="H98" t="s">
        <v>68</v>
      </c>
      <c r="I98" t="s">
        <v>44</v>
      </c>
      <c r="J98" t="s">
        <v>30</v>
      </c>
      <c r="K98" t="s">
        <v>117</v>
      </c>
      <c r="L98" t="s">
        <v>103</v>
      </c>
      <c r="M98" t="s">
        <v>46</v>
      </c>
      <c r="N98">
        <v>0</v>
      </c>
      <c r="O98" t="s">
        <v>34</v>
      </c>
      <c r="P98" t="s">
        <v>35</v>
      </c>
      <c r="Q98" t="s">
        <v>64</v>
      </c>
      <c r="R98" t="s">
        <v>57</v>
      </c>
      <c r="S98" t="s">
        <v>38</v>
      </c>
      <c r="T98">
        <v>8</v>
      </c>
      <c r="U98">
        <v>99600</v>
      </c>
      <c r="V98">
        <v>0</v>
      </c>
      <c r="W98">
        <v>0</v>
      </c>
      <c r="X98">
        <v>0</v>
      </c>
      <c r="Y98">
        <f>IF(tbl_Incidents[[#This Row],[Lost_Time_Days]]&gt;0, 1, 0)</f>
        <v>0</v>
      </c>
      <c r="Z98" s="1">
        <f>DATE(tbl_Incidents[[#This Row],[Year]], tbl_Incidents[[#This Row],[Month]], 1)</f>
        <v>45017</v>
      </c>
      <c r="AA98" t="str">
        <f t="shared" si="1"/>
        <v>Pilbara Crusher Plant|2023-04</v>
      </c>
    </row>
    <row r="99" spans="1:27" x14ac:dyDescent="0.35">
      <c r="A99" t="s">
        <v>197</v>
      </c>
      <c r="B99" s="1">
        <v>44655</v>
      </c>
      <c r="C99">
        <v>2022</v>
      </c>
      <c r="D99">
        <v>4</v>
      </c>
      <c r="E99" t="s">
        <v>40</v>
      </c>
      <c r="F99" t="s">
        <v>41</v>
      </c>
      <c r="G99" t="s">
        <v>42</v>
      </c>
      <c r="H99" t="s">
        <v>28</v>
      </c>
      <c r="I99" t="s">
        <v>79</v>
      </c>
      <c r="J99" t="s">
        <v>30</v>
      </c>
      <c r="K99" t="s">
        <v>31</v>
      </c>
      <c r="L99" t="s">
        <v>95</v>
      </c>
      <c r="M99" t="s">
        <v>33</v>
      </c>
      <c r="N99">
        <v>0</v>
      </c>
      <c r="O99" t="s">
        <v>34</v>
      </c>
      <c r="P99" t="s">
        <v>91</v>
      </c>
      <c r="Q99" t="s">
        <v>48</v>
      </c>
      <c r="R99" t="s">
        <v>57</v>
      </c>
      <c r="S99" t="s">
        <v>50</v>
      </c>
      <c r="T99">
        <v>9</v>
      </c>
      <c r="U99">
        <v>48992</v>
      </c>
      <c r="V99">
        <v>0</v>
      </c>
      <c r="W99">
        <v>0</v>
      </c>
      <c r="X99">
        <v>0</v>
      </c>
      <c r="Y99">
        <f>IF(tbl_Incidents[[#This Row],[Lost_Time_Days]]&gt;0, 1, 0)</f>
        <v>0</v>
      </c>
      <c r="Z99" s="1">
        <f>DATE(tbl_Incidents[[#This Row],[Year]], tbl_Incidents[[#This Row],[Month]], 1)</f>
        <v>44652</v>
      </c>
      <c r="AA99" t="str">
        <f t="shared" si="1"/>
        <v>Darwin Port Facility|2022-04</v>
      </c>
    </row>
    <row r="100" spans="1:27" x14ac:dyDescent="0.35">
      <c r="A100" t="s">
        <v>198</v>
      </c>
      <c r="B100" s="1">
        <v>45411</v>
      </c>
      <c r="C100">
        <v>2024</v>
      </c>
      <c r="D100">
        <v>4</v>
      </c>
      <c r="E100" t="s">
        <v>40</v>
      </c>
      <c r="F100" t="s">
        <v>41</v>
      </c>
      <c r="G100" t="s">
        <v>78</v>
      </c>
      <c r="H100" t="s">
        <v>73</v>
      </c>
      <c r="I100" t="s">
        <v>54</v>
      </c>
      <c r="J100" t="s">
        <v>30</v>
      </c>
      <c r="K100" t="s">
        <v>31</v>
      </c>
      <c r="L100" t="s">
        <v>95</v>
      </c>
      <c r="M100" t="s">
        <v>33</v>
      </c>
      <c r="N100">
        <v>0</v>
      </c>
      <c r="O100" t="s">
        <v>70</v>
      </c>
      <c r="P100" t="s">
        <v>35</v>
      </c>
      <c r="Q100" t="s">
        <v>81</v>
      </c>
      <c r="R100" t="s">
        <v>57</v>
      </c>
      <c r="S100" t="s">
        <v>50</v>
      </c>
      <c r="T100">
        <v>8</v>
      </c>
      <c r="U100">
        <v>76342</v>
      </c>
      <c r="V100">
        <v>0</v>
      </c>
      <c r="W100">
        <v>0</v>
      </c>
      <c r="X100">
        <v>0</v>
      </c>
      <c r="Y100">
        <f>IF(tbl_Incidents[[#This Row],[Lost_Time_Days]]&gt;0, 1, 0)</f>
        <v>0</v>
      </c>
      <c r="Z100" s="1">
        <f>DATE(tbl_Incidents[[#This Row],[Year]], tbl_Incidents[[#This Row],[Month]], 1)</f>
        <v>45383</v>
      </c>
      <c r="AA100" t="str">
        <f t="shared" si="1"/>
        <v>Broome Logistics Hub|2024-04</v>
      </c>
    </row>
    <row r="101" spans="1:27" x14ac:dyDescent="0.35">
      <c r="A101" t="s">
        <v>199</v>
      </c>
      <c r="B101" s="1">
        <v>45441</v>
      </c>
      <c r="C101">
        <v>2024</v>
      </c>
      <c r="D101">
        <v>5</v>
      </c>
      <c r="E101" t="s">
        <v>109</v>
      </c>
      <c r="F101" t="s">
        <v>41</v>
      </c>
      <c r="G101" t="s">
        <v>42</v>
      </c>
      <c r="H101" t="s">
        <v>43</v>
      </c>
      <c r="I101" t="s">
        <v>44</v>
      </c>
      <c r="J101" t="s">
        <v>30</v>
      </c>
      <c r="K101" t="s">
        <v>62</v>
      </c>
      <c r="L101" t="s">
        <v>93</v>
      </c>
      <c r="M101" t="s">
        <v>33</v>
      </c>
      <c r="N101">
        <v>0</v>
      </c>
      <c r="O101" t="s">
        <v>75</v>
      </c>
      <c r="P101" t="s">
        <v>35</v>
      </c>
      <c r="Q101" t="s">
        <v>48</v>
      </c>
      <c r="R101" t="s">
        <v>57</v>
      </c>
      <c r="S101" t="s">
        <v>38</v>
      </c>
      <c r="T101">
        <v>9</v>
      </c>
      <c r="U101">
        <v>117182</v>
      </c>
      <c r="V101">
        <v>0</v>
      </c>
      <c r="W101">
        <v>0</v>
      </c>
      <c r="X101">
        <v>0</v>
      </c>
      <c r="Y101">
        <f>IF(tbl_Incidents[[#This Row],[Lost_Time_Days]]&gt;0, 1, 0)</f>
        <v>0</v>
      </c>
      <c r="Z101" s="1">
        <f>DATE(tbl_Incidents[[#This Row],[Year]], tbl_Incidents[[#This Row],[Month]], 1)</f>
        <v>45413</v>
      </c>
      <c r="AA101" t="str">
        <f t="shared" si="1"/>
        <v>Darwin Port Facility|2024-05</v>
      </c>
    </row>
    <row r="102" spans="1:27" x14ac:dyDescent="0.35">
      <c r="A102" t="s">
        <v>200</v>
      </c>
      <c r="B102" s="1">
        <v>44893</v>
      </c>
      <c r="C102">
        <v>2022</v>
      </c>
      <c r="D102">
        <v>11</v>
      </c>
      <c r="E102" t="s">
        <v>107</v>
      </c>
      <c r="F102" t="s">
        <v>26</v>
      </c>
      <c r="G102" t="s">
        <v>42</v>
      </c>
      <c r="H102" t="s">
        <v>120</v>
      </c>
      <c r="I102" t="s">
        <v>29</v>
      </c>
      <c r="J102" t="s">
        <v>30</v>
      </c>
      <c r="K102" t="s">
        <v>31</v>
      </c>
      <c r="L102" t="s">
        <v>45</v>
      </c>
      <c r="M102" t="s">
        <v>33</v>
      </c>
      <c r="N102">
        <v>0</v>
      </c>
      <c r="O102" t="s">
        <v>75</v>
      </c>
      <c r="P102" t="s">
        <v>47</v>
      </c>
      <c r="Q102" t="s">
        <v>76</v>
      </c>
      <c r="R102" t="s">
        <v>57</v>
      </c>
      <c r="S102" t="s">
        <v>38</v>
      </c>
      <c r="T102">
        <v>11</v>
      </c>
      <c r="U102">
        <v>98756</v>
      </c>
      <c r="V102">
        <v>0</v>
      </c>
      <c r="W102">
        <v>0</v>
      </c>
      <c r="X102">
        <v>1</v>
      </c>
      <c r="Y102">
        <f>IF(tbl_Incidents[[#This Row],[Lost_Time_Days]]&gt;0, 1, 0)</f>
        <v>0</v>
      </c>
      <c r="Z102" s="1">
        <f>DATE(tbl_Incidents[[#This Row],[Year]], tbl_Incidents[[#This Row],[Month]], 1)</f>
        <v>44866</v>
      </c>
      <c r="AA102" t="str">
        <f t="shared" si="1"/>
        <v>Darwin Port Facility|2022-11</v>
      </c>
    </row>
    <row r="103" spans="1:27" x14ac:dyDescent="0.35">
      <c r="A103" t="s">
        <v>201</v>
      </c>
      <c r="B103" s="1">
        <v>45087</v>
      </c>
      <c r="C103">
        <v>2023</v>
      </c>
      <c r="D103">
        <v>6</v>
      </c>
      <c r="E103" t="s">
        <v>72</v>
      </c>
      <c r="F103" t="s">
        <v>41</v>
      </c>
      <c r="G103" t="s">
        <v>27</v>
      </c>
      <c r="H103" t="s">
        <v>86</v>
      </c>
      <c r="I103" t="s">
        <v>98</v>
      </c>
      <c r="J103" t="s">
        <v>30</v>
      </c>
      <c r="K103" t="s">
        <v>31</v>
      </c>
      <c r="L103" t="s">
        <v>103</v>
      </c>
      <c r="M103" t="s">
        <v>33</v>
      </c>
      <c r="N103">
        <v>0</v>
      </c>
      <c r="O103" t="s">
        <v>90</v>
      </c>
      <c r="P103" t="s">
        <v>35</v>
      </c>
      <c r="Q103" t="s">
        <v>76</v>
      </c>
      <c r="R103" t="s">
        <v>57</v>
      </c>
      <c r="S103" t="s">
        <v>88</v>
      </c>
      <c r="T103">
        <v>8</v>
      </c>
      <c r="U103">
        <v>47972</v>
      </c>
      <c r="V103">
        <v>0</v>
      </c>
      <c r="W103">
        <v>0</v>
      </c>
      <c r="X103">
        <v>0</v>
      </c>
      <c r="Y103">
        <f>IF(tbl_Incidents[[#This Row],[Lost_Time_Days]]&gt;0, 1, 0)</f>
        <v>0</v>
      </c>
      <c r="Z103" s="1">
        <f>DATE(tbl_Incidents[[#This Row],[Year]], tbl_Incidents[[#This Row],[Month]], 1)</f>
        <v>45078</v>
      </c>
      <c r="AA103" t="str">
        <f t="shared" si="1"/>
        <v>Thunderbird Mine|2023-06</v>
      </c>
    </row>
    <row r="104" spans="1:27" x14ac:dyDescent="0.35">
      <c r="A104" t="s">
        <v>202</v>
      </c>
      <c r="B104" s="1">
        <v>45052</v>
      </c>
      <c r="C104">
        <v>2023</v>
      </c>
      <c r="D104">
        <v>5</v>
      </c>
      <c r="E104" t="s">
        <v>109</v>
      </c>
      <c r="F104" t="s">
        <v>41</v>
      </c>
      <c r="G104" t="s">
        <v>105</v>
      </c>
      <c r="H104" t="s">
        <v>86</v>
      </c>
      <c r="I104" t="s">
        <v>54</v>
      </c>
      <c r="J104" t="s">
        <v>30</v>
      </c>
      <c r="K104" t="s">
        <v>31</v>
      </c>
      <c r="L104" t="s">
        <v>74</v>
      </c>
      <c r="M104" t="s">
        <v>56</v>
      </c>
      <c r="N104">
        <v>0</v>
      </c>
      <c r="O104" t="s">
        <v>75</v>
      </c>
      <c r="P104" t="s">
        <v>47</v>
      </c>
      <c r="Q104" t="s">
        <v>36</v>
      </c>
      <c r="R104" t="s">
        <v>57</v>
      </c>
      <c r="S104" t="s">
        <v>38</v>
      </c>
      <c r="T104">
        <v>12</v>
      </c>
      <c r="U104">
        <v>59442</v>
      </c>
      <c r="V104">
        <v>0</v>
      </c>
      <c r="W104">
        <v>0</v>
      </c>
      <c r="X104">
        <v>0</v>
      </c>
      <c r="Y104">
        <f>IF(tbl_Incidents[[#This Row],[Lost_Time_Days]]&gt;0, 1, 0)</f>
        <v>0</v>
      </c>
      <c r="Z104" s="1">
        <f>DATE(tbl_Incidents[[#This Row],[Year]], tbl_Incidents[[#This Row],[Month]], 1)</f>
        <v>45047</v>
      </c>
      <c r="AA104" t="str">
        <f t="shared" si="1"/>
        <v>Katherine Processing Site|2023-05</v>
      </c>
    </row>
    <row r="105" spans="1:27" x14ac:dyDescent="0.35">
      <c r="A105" t="s">
        <v>203</v>
      </c>
      <c r="B105" s="1">
        <v>44629</v>
      </c>
      <c r="C105">
        <v>2022</v>
      </c>
      <c r="D105">
        <v>3</v>
      </c>
      <c r="E105" t="s">
        <v>125</v>
      </c>
      <c r="F105" t="s">
        <v>53</v>
      </c>
      <c r="G105" t="s">
        <v>59</v>
      </c>
      <c r="H105" t="s">
        <v>43</v>
      </c>
      <c r="I105" t="s">
        <v>44</v>
      </c>
      <c r="J105" t="s">
        <v>30</v>
      </c>
      <c r="K105" t="s">
        <v>31</v>
      </c>
      <c r="L105" t="s">
        <v>103</v>
      </c>
      <c r="M105" t="s">
        <v>46</v>
      </c>
      <c r="N105">
        <v>0</v>
      </c>
      <c r="O105" t="s">
        <v>34</v>
      </c>
      <c r="P105" t="s">
        <v>47</v>
      </c>
      <c r="Q105" t="s">
        <v>76</v>
      </c>
      <c r="R105" t="s">
        <v>37</v>
      </c>
      <c r="S105" t="s">
        <v>38</v>
      </c>
      <c r="T105">
        <v>11</v>
      </c>
      <c r="U105">
        <v>106263</v>
      </c>
      <c r="V105">
        <v>0</v>
      </c>
      <c r="W105">
        <v>0</v>
      </c>
      <c r="X105">
        <v>0</v>
      </c>
      <c r="Y105">
        <f>IF(tbl_Incidents[[#This Row],[Lost_Time_Days]]&gt;0, 1, 0)</f>
        <v>0</v>
      </c>
      <c r="Z105" s="1">
        <f>DATE(tbl_Incidents[[#This Row],[Year]], tbl_Incidents[[#This Row],[Month]], 1)</f>
        <v>44621</v>
      </c>
      <c r="AA105" t="str">
        <f t="shared" si="1"/>
        <v>Pilbara Crusher Plant|2022-03</v>
      </c>
    </row>
    <row r="106" spans="1:27" x14ac:dyDescent="0.35">
      <c r="A106" t="s">
        <v>204</v>
      </c>
      <c r="B106" s="1">
        <v>45181</v>
      </c>
      <c r="C106">
        <v>2023</v>
      </c>
      <c r="D106">
        <v>9</v>
      </c>
      <c r="E106" t="s">
        <v>97</v>
      </c>
      <c r="F106" t="s">
        <v>67</v>
      </c>
      <c r="G106" t="s">
        <v>27</v>
      </c>
      <c r="H106" t="s">
        <v>28</v>
      </c>
      <c r="I106" t="s">
        <v>110</v>
      </c>
      <c r="J106" t="s">
        <v>61</v>
      </c>
      <c r="K106" t="s">
        <v>31</v>
      </c>
      <c r="L106" t="s">
        <v>100</v>
      </c>
      <c r="M106" t="s">
        <v>56</v>
      </c>
      <c r="N106">
        <v>4</v>
      </c>
      <c r="O106" t="s">
        <v>63</v>
      </c>
      <c r="P106" t="s">
        <v>35</v>
      </c>
      <c r="Q106" t="s">
        <v>64</v>
      </c>
      <c r="R106" t="s">
        <v>57</v>
      </c>
      <c r="S106" t="s">
        <v>88</v>
      </c>
      <c r="T106">
        <v>11</v>
      </c>
      <c r="U106">
        <v>94524</v>
      </c>
      <c r="V106">
        <v>1</v>
      </c>
      <c r="W106">
        <v>0</v>
      </c>
      <c r="X106">
        <v>1</v>
      </c>
      <c r="Y106">
        <f>IF(tbl_Incidents[[#This Row],[Lost_Time_Days]]&gt;0, 1, 0)</f>
        <v>1</v>
      </c>
      <c r="Z106" s="1">
        <f>DATE(tbl_Incidents[[#This Row],[Year]], tbl_Incidents[[#This Row],[Month]], 1)</f>
        <v>45170</v>
      </c>
      <c r="AA106" t="str">
        <f t="shared" si="1"/>
        <v>Thunderbird Mine|2023-09</v>
      </c>
    </row>
    <row r="107" spans="1:27" x14ac:dyDescent="0.35">
      <c r="A107" t="s">
        <v>205</v>
      </c>
      <c r="B107" s="1">
        <v>44882</v>
      </c>
      <c r="C107">
        <v>2022</v>
      </c>
      <c r="D107">
        <v>11</v>
      </c>
      <c r="E107" t="s">
        <v>107</v>
      </c>
      <c r="F107" t="s">
        <v>26</v>
      </c>
      <c r="G107" t="s">
        <v>59</v>
      </c>
      <c r="H107" t="s">
        <v>120</v>
      </c>
      <c r="I107" t="s">
        <v>110</v>
      </c>
      <c r="J107" t="s">
        <v>61</v>
      </c>
      <c r="K107" t="s">
        <v>112</v>
      </c>
      <c r="L107" t="s">
        <v>83</v>
      </c>
      <c r="M107" t="s">
        <v>33</v>
      </c>
      <c r="N107">
        <v>11</v>
      </c>
      <c r="O107" t="s">
        <v>34</v>
      </c>
      <c r="P107" t="s">
        <v>35</v>
      </c>
      <c r="Q107" t="s">
        <v>36</v>
      </c>
      <c r="R107" t="s">
        <v>49</v>
      </c>
      <c r="S107" t="s">
        <v>38</v>
      </c>
      <c r="T107">
        <v>10</v>
      </c>
      <c r="U107">
        <v>57054</v>
      </c>
      <c r="V107">
        <v>1</v>
      </c>
      <c r="W107">
        <v>0</v>
      </c>
      <c r="X107">
        <v>0</v>
      </c>
      <c r="Y107">
        <f>IF(tbl_Incidents[[#This Row],[Lost_Time_Days]]&gt;0, 1, 0)</f>
        <v>1</v>
      </c>
      <c r="Z107" s="1">
        <f>DATE(tbl_Incidents[[#This Row],[Year]], tbl_Incidents[[#This Row],[Month]], 1)</f>
        <v>44866</v>
      </c>
      <c r="AA107" t="str">
        <f t="shared" si="1"/>
        <v>Pilbara Crusher Plant|2022-11</v>
      </c>
    </row>
    <row r="108" spans="1:27" x14ac:dyDescent="0.35">
      <c r="A108" t="s">
        <v>206</v>
      </c>
      <c r="B108" s="1">
        <v>45162</v>
      </c>
      <c r="C108">
        <v>2023</v>
      </c>
      <c r="D108">
        <v>8</v>
      </c>
      <c r="E108" t="s">
        <v>66</v>
      </c>
      <c r="F108" t="s">
        <v>67</v>
      </c>
      <c r="G108" t="s">
        <v>78</v>
      </c>
      <c r="H108" t="s">
        <v>120</v>
      </c>
      <c r="I108" t="s">
        <v>98</v>
      </c>
      <c r="J108" t="s">
        <v>30</v>
      </c>
      <c r="K108" t="s">
        <v>31</v>
      </c>
      <c r="L108" t="s">
        <v>74</v>
      </c>
      <c r="M108" t="s">
        <v>56</v>
      </c>
      <c r="N108">
        <v>0</v>
      </c>
      <c r="O108" t="s">
        <v>34</v>
      </c>
      <c r="P108" t="s">
        <v>47</v>
      </c>
      <c r="Q108" t="s">
        <v>36</v>
      </c>
      <c r="R108" t="s">
        <v>57</v>
      </c>
      <c r="S108" t="s">
        <v>50</v>
      </c>
      <c r="T108">
        <v>10</v>
      </c>
      <c r="U108">
        <v>86090</v>
      </c>
      <c r="V108">
        <v>0</v>
      </c>
      <c r="W108">
        <v>0</v>
      </c>
      <c r="X108">
        <v>0</v>
      </c>
      <c r="Y108">
        <f>IF(tbl_Incidents[[#This Row],[Lost_Time_Days]]&gt;0, 1, 0)</f>
        <v>0</v>
      </c>
      <c r="Z108" s="1">
        <f>DATE(tbl_Incidents[[#This Row],[Year]], tbl_Incidents[[#This Row],[Month]], 1)</f>
        <v>45139</v>
      </c>
      <c r="AA108" t="str">
        <f t="shared" si="1"/>
        <v>Broome Logistics Hub|2023-08</v>
      </c>
    </row>
    <row r="109" spans="1:27" x14ac:dyDescent="0.35">
      <c r="A109" t="s">
        <v>207</v>
      </c>
      <c r="B109" s="1">
        <v>44668</v>
      </c>
      <c r="C109">
        <v>2022</v>
      </c>
      <c r="D109">
        <v>4</v>
      </c>
      <c r="E109" t="s">
        <v>40</v>
      </c>
      <c r="F109" t="s">
        <v>41</v>
      </c>
      <c r="G109" t="s">
        <v>78</v>
      </c>
      <c r="H109" t="s">
        <v>73</v>
      </c>
      <c r="I109" t="s">
        <v>98</v>
      </c>
      <c r="J109" t="s">
        <v>30</v>
      </c>
      <c r="K109" t="s">
        <v>31</v>
      </c>
      <c r="L109" t="s">
        <v>93</v>
      </c>
      <c r="M109" t="s">
        <v>46</v>
      </c>
      <c r="N109">
        <v>0</v>
      </c>
      <c r="O109" t="s">
        <v>63</v>
      </c>
      <c r="P109" t="s">
        <v>35</v>
      </c>
      <c r="Q109" t="s">
        <v>36</v>
      </c>
      <c r="R109" t="s">
        <v>57</v>
      </c>
      <c r="S109" t="s">
        <v>50</v>
      </c>
      <c r="T109">
        <v>10</v>
      </c>
      <c r="U109">
        <v>55058</v>
      </c>
      <c r="V109">
        <v>0</v>
      </c>
      <c r="W109">
        <v>0</v>
      </c>
      <c r="X109">
        <v>0</v>
      </c>
      <c r="Y109">
        <f>IF(tbl_Incidents[[#This Row],[Lost_Time_Days]]&gt;0, 1, 0)</f>
        <v>0</v>
      </c>
      <c r="Z109" s="1">
        <f>DATE(tbl_Incidents[[#This Row],[Year]], tbl_Incidents[[#This Row],[Month]], 1)</f>
        <v>44652</v>
      </c>
      <c r="AA109" t="str">
        <f t="shared" si="1"/>
        <v>Broome Logistics Hub|2022-04</v>
      </c>
    </row>
    <row r="110" spans="1:27" x14ac:dyDescent="0.35">
      <c r="A110" t="s">
        <v>208</v>
      </c>
      <c r="B110" s="1">
        <v>45342</v>
      </c>
      <c r="C110">
        <v>2024</v>
      </c>
      <c r="D110">
        <v>2</v>
      </c>
      <c r="E110" t="s">
        <v>52</v>
      </c>
      <c r="F110" t="s">
        <v>53</v>
      </c>
      <c r="G110" t="s">
        <v>78</v>
      </c>
      <c r="H110" t="s">
        <v>73</v>
      </c>
      <c r="I110" t="s">
        <v>60</v>
      </c>
      <c r="J110" t="s">
        <v>61</v>
      </c>
      <c r="K110" t="s">
        <v>139</v>
      </c>
      <c r="L110" t="s">
        <v>103</v>
      </c>
      <c r="M110" t="s">
        <v>46</v>
      </c>
      <c r="N110">
        <v>0</v>
      </c>
      <c r="O110" t="s">
        <v>90</v>
      </c>
      <c r="P110" t="s">
        <v>35</v>
      </c>
      <c r="Q110" t="s">
        <v>76</v>
      </c>
      <c r="R110" t="s">
        <v>57</v>
      </c>
      <c r="S110" t="s">
        <v>38</v>
      </c>
      <c r="T110">
        <v>9</v>
      </c>
      <c r="U110">
        <v>75818</v>
      </c>
      <c r="V110">
        <v>1</v>
      </c>
      <c r="W110">
        <v>0</v>
      </c>
      <c r="X110">
        <v>0</v>
      </c>
      <c r="Y110">
        <f>IF(tbl_Incidents[[#This Row],[Lost_Time_Days]]&gt;0, 1, 0)</f>
        <v>0</v>
      </c>
      <c r="Z110" s="1">
        <f>DATE(tbl_Incidents[[#This Row],[Year]], tbl_Incidents[[#This Row],[Month]], 1)</f>
        <v>45323</v>
      </c>
      <c r="AA110" t="str">
        <f t="shared" si="1"/>
        <v>Broome Logistics Hub|2024-02</v>
      </c>
    </row>
    <row r="111" spans="1:27" x14ac:dyDescent="0.35">
      <c r="A111" t="s">
        <v>209</v>
      </c>
      <c r="B111" s="1">
        <v>45281</v>
      </c>
      <c r="C111">
        <v>2023</v>
      </c>
      <c r="D111">
        <v>12</v>
      </c>
      <c r="E111" t="s">
        <v>123</v>
      </c>
      <c r="F111" t="s">
        <v>26</v>
      </c>
      <c r="G111" t="s">
        <v>59</v>
      </c>
      <c r="H111" t="s">
        <v>120</v>
      </c>
      <c r="I111" t="s">
        <v>54</v>
      </c>
      <c r="J111" t="s">
        <v>30</v>
      </c>
      <c r="K111" t="s">
        <v>31</v>
      </c>
      <c r="L111" t="s">
        <v>80</v>
      </c>
      <c r="M111" t="s">
        <v>33</v>
      </c>
      <c r="N111">
        <v>0</v>
      </c>
      <c r="O111" t="s">
        <v>34</v>
      </c>
      <c r="P111" t="s">
        <v>35</v>
      </c>
      <c r="Q111" t="s">
        <v>76</v>
      </c>
      <c r="R111" t="s">
        <v>49</v>
      </c>
      <c r="S111" t="s">
        <v>38</v>
      </c>
      <c r="T111">
        <v>9</v>
      </c>
      <c r="U111">
        <v>44018</v>
      </c>
      <c r="V111">
        <v>0</v>
      </c>
      <c r="W111">
        <v>0</v>
      </c>
      <c r="X111">
        <v>0</v>
      </c>
      <c r="Y111">
        <f>IF(tbl_Incidents[[#This Row],[Lost_Time_Days]]&gt;0, 1, 0)</f>
        <v>0</v>
      </c>
      <c r="Z111" s="1">
        <f>DATE(tbl_Incidents[[#This Row],[Year]], tbl_Incidents[[#This Row],[Month]], 1)</f>
        <v>45261</v>
      </c>
      <c r="AA111" t="str">
        <f t="shared" si="1"/>
        <v>Pilbara Crusher Plant|2023-12</v>
      </c>
    </row>
    <row r="112" spans="1:27" x14ac:dyDescent="0.35">
      <c r="A112" t="s">
        <v>210</v>
      </c>
      <c r="B112" s="1">
        <v>44655</v>
      </c>
      <c r="C112">
        <v>2022</v>
      </c>
      <c r="D112">
        <v>4</v>
      </c>
      <c r="E112" t="s">
        <v>40</v>
      </c>
      <c r="F112" t="s">
        <v>41</v>
      </c>
      <c r="G112" t="s">
        <v>78</v>
      </c>
      <c r="H112" t="s">
        <v>73</v>
      </c>
      <c r="I112" t="s">
        <v>79</v>
      </c>
      <c r="J112" t="s">
        <v>30</v>
      </c>
      <c r="K112" t="s">
        <v>31</v>
      </c>
      <c r="L112" t="s">
        <v>55</v>
      </c>
      <c r="M112" t="s">
        <v>56</v>
      </c>
      <c r="N112">
        <v>0</v>
      </c>
      <c r="O112" t="s">
        <v>63</v>
      </c>
      <c r="P112" t="s">
        <v>91</v>
      </c>
      <c r="Q112" t="s">
        <v>48</v>
      </c>
      <c r="R112" t="s">
        <v>57</v>
      </c>
      <c r="S112" t="s">
        <v>38</v>
      </c>
      <c r="T112">
        <v>10</v>
      </c>
      <c r="U112">
        <v>114395</v>
      </c>
      <c r="V112">
        <v>0</v>
      </c>
      <c r="W112">
        <v>0</v>
      </c>
      <c r="X112">
        <v>0</v>
      </c>
      <c r="Y112">
        <f>IF(tbl_Incidents[[#This Row],[Lost_Time_Days]]&gt;0, 1, 0)</f>
        <v>0</v>
      </c>
      <c r="Z112" s="1">
        <f>DATE(tbl_Incidents[[#This Row],[Year]], tbl_Incidents[[#This Row],[Month]], 1)</f>
        <v>44652</v>
      </c>
      <c r="AA112" t="str">
        <f t="shared" si="1"/>
        <v>Broome Logistics Hub|2022-04</v>
      </c>
    </row>
    <row r="113" spans="1:27" x14ac:dyDescent="0.35">
      <c r="A113" t="s">
        <v>211</v>
      </c>
      <c r="B113" s="1">
        <v>45172</v>
      </c>
      <c r="C113">
        <v>2023</v>
      </c>
      <c r="D113">
        <v>9</v>
      </c>
      <c r="E113" t="s">
        <v>97</v>
      </c>
      <c r="F113" t="s">
        <v>67</v>
      </c>
      <c r="G113" t="s">
        <v>27</v>
      </c>
      <c r="H113" t="s">
        <v>73</v>
      </c>
      <c r="I113" t="s">
        <v>29</v>
      </c>
      <c r="J113" t="s">
        <v>30</v>
      </c>
      <c r="K113" t="s">
        <v>31</v>
      </c>
      <c r="L113" t="s">
        <v>93</v>
      </c>
      <c r="M113" t="s">
        <v>46</v>
      </c>
      <c r="N113">
        <v>0</v>
      </c>
      <c r="O113" t="s">
        <v>34</v>
      </c>
      <c r="P113" t="s">
        <v>35</v>
      </c>
      <c r="Q113" t="s">
        <v>81</v>
      </c>
      <c r="R113" t="s">
        <v>49</v>
      </c>
      <c r="S113" t="s">
        <v>88</v>
      </c>
      <c r="T113">
        <v>11</v>
      </c>
      <c r="U113">
        <v>119570</v>
      </c>
      <c r="V113">
        <v>0</v>
      </c>
      <c r="W113">
        <v>0</v>
      </c>
      <c r="X113">
        <v>0</v>
      </c>
      <c r="Y113">
        <f>IF(tbl_Incidents[[#This Row],[Lost_Time_Days]]&gt;0, 1, 0)</f>
        <v>0</v>
      </c>
      <c r="Z113" s="1">
        <f>DATE(tbl_Incidents[[#This Row],[Year]], tbl_Incidents[[#This Row],[Month]], 1)</f>
        <v>45170</v>
      </c>
      <c r="AA113" t="str">
        <f t="shared" si="1"/>
        <v>Thunderbird Mine|2023-09</v>
      </c>
    </row>
    <row r="114" spans="1:27" x14ac:dyDescent="0.35">
      <c r="A114" t="s">
        <v>212</v>
      </c>
      <c r="B114" s="1">
        <v>44841</v>
      </c>
      <c r="C114">
        <v>2022</v>
      </c>
      <c r="D114">
        <v>10</v>
      </c>
      <c r="E114" t="s">
        <v>25</v>
      </c>
      <c r="F114" t="s">
        <v>26</v>
      </c>
      <c r="G114" t="s">
        <v>78</v>
      </c>
      <c r="H114" t="s">
        <v>68</v>
      </c>
      <c r="I114" t="s">
        <v>44</v>
      </c>
      <c r="J114" t="s">
        <v>30</v>
      </c>
      <c r="K114" t="s">
        <v>117</v>
      </c>
      <c r="L114" t="s">
        <v>55</v>
      </c>
      <c r="M114" t="s">
        <v>33</v>
      </c>
      <c r="N114">
        <v>0</v>
      </c>
      <c r="O114" t="s">
        <v>34</v>
      </c>
      <c r="P114" t="s">
        <v>47</v>
      </c>
      <c r="Q114" t="s">
        <v>76</v>
      </c>
      <c r="R114" t="s">
        <v>57</v>
      </c>
      <c r="S114" t="s">
        <v>38</v>
      </c>
      <c r="T114">
        <v>9</v>
      </c>
      <c r="U114">
        <v>91807</v>
      </c>
      <c r="V114">
        <v>0</v>
      </c>
      <c r="W114">
        <v>0</v>
      </c>
      <c r="X114">
        <v>0</v>
      </c>
      <c r="Y114">
        <f>IF(tbl_Incidents[[#This Row],[Lost_Time_Days]]&gt;0, 1, 0)</f>
        <v>0</v>
      </c>
      <c r="Z114" s="1">
        <f>DATE(tbl_Incidents[[#This Row],[Year]], tbl_Incidents[[#This Row],[Month]], 1)</f>
        <v>44835</v>
      </c>
      <c r="AA114" t="str">
        <f t="shared" si="1"/>
        <v>Broome Logistics Hub|2022-10</v>
      </c>
    </row>
    <row r="115" spans="1:27" x14ac:dyDescent="0.35">
      <c r="A115" t="s">
        <v>213</v>
      </c>
      <c r="B115" s="1">
        <v>45175</v>
      </c>
      <c r="C115">
        <v>2023</v>
      </c>
      <c r="D115">
        <v>9</v>
      </c>
      <c r="E115" t="s">
        <v>97</v>
      </c>
      <c r="F115" t="s">
        <v>67</v>
      </c>
      <c r="G115" t="s">
        <v>27</v>
      </c>
      <c r="H115" t="s">
        <v>73</v>
      </c>
      <c r="I115" t="s">
        <v>29</v>
      </c>
      <c r="J115" t="s">
        <v>30</v>
      </c>
      <c r="K115" t="s">
        <v>31</v>
      </c>
      <c r="L115" t="s">
        <v>32</v>
      </c>
      <c r="M115" t="s">
        <v>33</v>
      </c>
      <c r="N115">
        <v>0</v>
      </c>
      <c r="O115" t="s">
        <v>70</v>
      </c>
      <c r="P115" t="s">
        <v>35</v>
      </c>
      <c r="Q115" t="s">
        <v>81</v>
      </c>
      <c r="R115" t="s">
        <v>57</v>
      </c>
      <c r="S115" t="s">
        <v>38</v>
      </c>
      <c r="T115">
        <v>8</v>
      </c>
      <c r="U115">
        <v>41013</v>
      </c>
      <c r="V115">
        <v>0</v>
      </c>
      <c r="W115">
        <v>0</v>
      </c>
      <c r="X115">
        <v>0</v>
      </c>
      <c r="Y115">
        <f>IF(tbl_Incidents[[#This Row],[Lost_Time_Days]]&gt;0, 1, 0)</f>
        <v>0</v>
      </c>
      <c r="Z115" s="1">
        <f>DATE(tbl_Incidents[[#This Row],[Year]], tbl_Incidents[[#This Row],[Month]], 1)</f>
        <v>45170</v>
      </c>
      <c r="AA115" t="str">
        <f t="shared" si="1"/>
        <v>Thunderbird Mine|2023-09</v>
      </c>
    </row>
    <row r="116" spans="1:27" x14ac:dyDescent="0.35">
      <c r="A116" t="s">
        <v>214</v>
      </c>
      <c r="B116" s="1">
        <v>45002</v>
      </c>
      <c r="C116">
        <v>2023</v>
      </c>
      <c r="D116">
        <v>3</v>
      </c>
      <c r="E116" t="s">
        <v>125</v>
      </c>
      <c r="F116" t="s">
        <v>53</v>
      </c>
      <c r="G116" t="s">
        <v>42</v>
      </c>
      <c r="H116" t="s">
        <v>86</v>
      </c>
      <c r="I116" t="s">
        <v>44</v>
      </c>
      <c r="J116" t="s">
        <v>30</v>
      </c>
      <c r="K116" t="s">
        <v>31</v>
      </c>
      <c r="L116" t="s">
        <v>100</v>
      </c>
      <c r="M116" t="s">
        <v>46</v>
      </c>
      <c r="N116">
        <v>0</v>
      </c>
      <c r="O116" t="s">
        <v>90</v>
      </c>
      <c r="P116" t="s">
        <v>91</v>
      </c>
      <c r="Q116" t="s">
        <v>36</v>
      </c>
      <c r="R116" t="s">
        <v>49</v>
      </c>
      <c r="S116" t="s">
        <v>38</v>
      </c>
      <c r="T116">
        <v>11</v>
      </c>
      <c r="U116">
        <v>42456</v>
      </c>
      <c r="V116">
        <v>0</v>
      </c>
      <c r="W116">
        <v>0</v>
      </c>
      <c r="X116">
        <v>0</v>
      </c>
      <c r="Y116">
        <f>IF(tbl_Incidents[[#This Row],[Lost_Time_Days]]&gt;0, 1, 0)</f>
        <v>0</v>
      </c>
      <c r="Z116" s="1">
        <f>DATE(tbl_Incidents[[#This Row],[Year]], tbl_Incidents[[#This Row],[Month]], 1)</f>
        <v>44986</v>
      </c>
      <c r="AA116" t="str">
        <f t="shared" si="1"/>
        <v>Darwin Port Facility|2023-03</v>
      </c>
    </row>
    <row r="117" spans="1:27" x14ac:dyDescent="0.35">
      <c r="A117" t="s">
        <v>215</v>
      </c>
      <c r="B117" s="1">
        <v>45032</v>
      </c>
      <c r="C117">
        <v>2023</v>
      </c>
      <c r="D117">
        <v>4</v>
      </c>
      <c r="E117" t="s">
        <v>40</v>
      </c>
      <c r="F117" t="s">
        <v>41</v>
      </c>
      <c r="G117" t="s">
        <v>59</v>
      </c>
      <c r="H117" t="s">
        <v>43</v>
      </c>
      <c r="I117" t="s">
        <v>29</v>
      </c>
      <c r="J117" t="s">
        <v>30</v>
      </c>
      <c r="K117" t="s">
        <v>31</v>
      </c>
      <c r="L117" t="s">
        <v>55</v>
      </c>
      <c r="M117" t="s">
        <v>46</v>
      </c>
      <c r="N117">
        <v>0</v>
      </c>
      <c r="O117" t="s">
        <v>63</v>
      </c>
      <c r="P117" t="s">
        <v>47</v>
      </c>
      <c r="Q117" t="s">
        <v>81</v>
      </c>
      <c r="R117" t="s">
        <v>57</v>
      </c>
      <c r="S117" t="s">
        <v>88</v>
      </c>
      <c r="T117">
        <v>8</v>
      </c>
      <c r="U117">
        <v>82568</v>
      </c>
      <c r="V117">
        <v>0</v>
      </c>
      <c r="W117">
        <v>0</v>
      </c>
      <c r="X117">
        <v>0</v>
      </c>
      <c r="Y117">
        <f>IF(tbl_Incidents[[#This Row],[Lost_Time_Days]]&gt;0, 1, 0)</f>
        <v>0</v>
      </c>
      <c r="Z117" s="1">
        <f>DATE(tbl_Incidents[[#This Row],[Year]], tbl_Incidents[[#This Row],[Month]], 1)</f>
        <v>45017</v>
      </c>
      <c r="AA117" t="str">
        <f t="shared" si="1"/>
        <v>Pilbara Crusher Plant|2023-04</v>
      </c>
    </row>
    <row r="118" spans="1:27" x14ac:dyDescent="0.35">
      <c r="A118" t="s">
        <v>216</v>
      </c>
      <c r="B118" s="1">
        <v>45194</v>
      </c>
      <c r="C118">
        <v>2023</v>
      </c>
      <c r="D118">
        <v>9</v>
      </c>
      <c r="E118" t="s">
        <v>97</v>
      </c>
      <c r="F118" t="s">
        <v>67</v>
      </c>
      <c r="G118" t="s">
        <v>59</v>
      </c>
      <c r="H118" t="s">
        <v>68</v>
      </c>
      <c r="I118" t="s">
        <v>110</v>
      </c>
      <c r="J118" t="s">
        <v>61</v>
      </c>
      <c r="K118" t="s">
        <v>139</v>
      </c>
      <c r="L118" t="s">
        <v>74</v>
      </c>
      <c r="M118" t="s">
        <v>33</v>
      </c>
      <c r="N118">
        <v>27</v>
      </c>
      <c r="O118" t="s">
        <v>63</v>
      </c>
      <c r="P118" t="s">
        <v>47</v>
      </c>
      <c r="Q118" t="s">
        <v>76</v>
      </c>
      <c r="R118" t="s">
        <v>57</v>
      </c>
      <c r="S118" t="s">
        <v>88</v>
      </c>
      <c r="T118">
        <v>10</v>
      </c>
      <c r="U118">
        <v>84500</v>
      </c>
      <c r="V118">
        <v>1</v>
      </c>
      <c r="W118">
        <v>0</v>
      </c>
      <c r="X118">
        <v>0</v>
      </c>
      <c r="Y118">
        <f>IF(tbl_Incidents[[#This Row],[Lost_Time_Days]]&gt;0, 1, 0)</f>
        <v>1</v>
      </c>
      <c r="Z118" s="1">
        <f>DATE(tbl_Incidents[[#This Row],[Year]], tbl_Incidents[[#This Row],[Month]], 1)</f>
        <v>45170</v>
      </c>
      <c r="AA118" t="str">
        <f t="shared" si="1"/>
        <v>Pilbara Crusher Plant|2023-09</v>
      </c>
    </row>
    <row r="119" spans="1:27" x14ac:dyDescent="0.35">
      <c r="A119" t="s">
        <v>217</v>
      </c>
      <c r="B119" s="1">
        <v>45359</v>
      </c>
      <c r="C119">
        <v>2024</v>
      </c>
      <c r="D119">
        <v>3</v>
      </c>
      <c r="E119" t="s">
        <v>125</v>
      </c>
      <c r="F119" t="s">
        <v>53</v>
      </c>
      <c r="G119" t="s">
        <v>27</v>
      </c>
      <c r="H119" t="s">
        <v>43</v>
      </c>
      <c r="I119" t="s">
        <v>44</v>
      </c>
      <c r="J119" t="s">
        <v>30</v>
      </c>
      <c r="K119" t="s">
        <v>165</v>
      </c>
      <c r="L119" t="s">
        <v>103</v>
      </c>
      <c r="M119" t="s">
        <v>46</v>
      </c>
      <c r="N119">
        <v>0</v>
      </c>
      <c r="O119" t="s">
        <v>34</v>
      </c>
      <c r="P119" t="s">
        <v>91</v>
      </c>
      <c r="Q119" t="s">
        <v>81</v>
      </c>
      <c r="R119" t="s">
        <v>57</v>
      </c>
      <c r="S119" t="s">
        <v>38</v>
      </c>
      <c r="T119">
        <v>8</v>
      </c>
      <c r="U119">
        <v>59194</v>
      </c>
      <c r="V119">
        <v>0</v>
      </c>
      <c r="W119">
        <v>0</v>
      </c>
      <c r="X119">
        <v>0</v>
      </c>
      <c r="Y119">
        <f>IF(tbl_Incidents[[#This Row],[Lost_Time_Days]]&gt;0, 1, 0)</f>
        <v>0</v>
      </c>
      <c r="Z119" s="1">
        <f>DATE(tbl_Incidents[[#This Row],[Year]], tbl_Incidents[[#This Row],[Month]], 1)</f>
        <v>45352</v>
      </c>
      <c r="AA119" t="str">
        <f t="shared" si="1"/>
        <v>Thunderbird Mine|2024-03</v>
      </c>
    </row>
    <row r="120" spans="1:27" x14ac:dyDescent="0.35">
      <c r="A120" t="s">
        <v>218</v>
      </c>
      <c r="B120" s="1">
        <v>44824</v>
      </c>
      <c r="C120">
        <v>2022</v>
      </c>
      <c r="D120">
        <v>9</v>
      </c>
      <c r="E120" t="s">
        <v>97</v>
      </c>
      <c r="F120" t="s">
        <v>67</v>
      </c>
      <c r="G120" t="s">
        <v>42</v>
      </c>
      <c r="H120" t="s">
        <v>43</v>
      </c>
      <c r="I120" t="s">
        <v>44</v>
      </c>
      <c r="J120" t="s">
        <v>30</v>
      </c>
      <c r="K120" t="s">
        <v>112</v>
      </c>
      <c r="L120" t="s">
        <v>74</v>
      </c>
      <c r="M120" t="s">
        <v>33</v>
      </c>
      <c r="N120">
        <v>0</v>
      </c>
      <c r="O120" t="s">
        <v>70</v>
      </c>
      <c r="P120" t="s">
        <v>47</v>
      </c>
      <c r="Q120" t="s">
        <v>64</v>
      </c>
      <c r="R120" t="s">
        <v>37</v>
      </c>
      <c r="S120" t="s">
        <v>50</v>
      </c>
      <c r="T120">
        <v>11</v>
      </c>
      <c r="U120">
        <v>113989</v>
      </c>
      <c r="V120">
        <v>0</v>
      </c>
      <c r="W120">
        <v>0</v>
      </c>
      <c r="X120">
        <v>0</v>
      </c>
      <c r="Y120">
        <f>IF(tbl_Incidents[[#This Row],[Lost_Time_Days]]&gt;0, 1, 0)</f>
        <v>0</v>
      </c>
      <c r="Z120" s="1">
        <f>DATE(tbl_Incidents[[#This Row],[Year]], tbl_Incidents[[#This Row],[Month]], 1)</f>
        <v>44805</v>
      </c>
      <c r="AA120" t="str">
        <f t="shared" si="1"/>
        <v>Darwin Port Facility|2022-09</v>
      </c>
    </row>
    <row r="121" spans="1:27" x14ac:dyDescent="0.35">
      <c r="A121" t="s">
        <v>219</v>
      </c>
      <c r="B121" s="1">
        <v>45220</v>
      </c>
      <c r="C121">
        <v>2023</v>
      </c>
      <c r="D121">
        <v>10</v>
      </c>
      <c r="E121" t="s">
        <v>25</v>
      </c>
      <c r="F121" t="s">
        <v>26</v>
      </c>
      <c r="G121" t="s">
        <v>78</v>
      </c>
      <c r="H121" t="s">
        <v>120</v>
      </c>
      <c r="I121" t="s">
        <v>79</v>
      </c>
      <c r="J121" t="s">
        <v>30</v>
      </c>
      <c r="K121" t="s">
        <v>31</v>
      </c>
      <c r="L121" t="s">
        <v>80</v>
      </c>
      <c r="M121" t="s">
        <v>33</v>
      </c>
      <c r="N121">
        <v>0</v>
      </c>
      <c r="O121" t="s">
        <v>63</v>
      </c>
      <c r="P121" t="s">
        <v>35</v>
      </c>
      <c r="Q121" t="s">
        <v>64</v>
      </c>
      <c r="R121" t="s">
        <v>49</v>
      </c>
      <c r="S121" t="s">
        <v>38</v>
      </c>
      <c r="T121">
        <v>10</v>
      </c>
      <c r="U121">
        <v>117518</v>
      </c>
      <c r="V121">
        <v>0</v>
      </c>
      <c r="W121">
        <v>0</v>
      </c>
      <c r="X121">
        <v>0</v>
      </c>
      <c r="Y121">
        <f>IF(tbl_Incidents[[#This Row],[Lost_Time_Days]]&gt;0, 1, 0)</f>
        <v>0</v>
      </c>
      <c r="Z121" s="1">
        <f>DATE(tbl_Incidents[[#This Row],[Year]], tbl_Incidents[[#This Row],[Month]], 1)</f>
        <v>45200</v>
      </c>
      <c r="AA121" t="str">
        <f t="shared" si="1"/>
        <v>Broome Logistics Hub|2023-10</v>
      </c>
    </row>
    <row r="122" spans="1:27" x14ac:dyDescent="0.35">
      <c r="A122" t="s">
        <v>220</v>
      </c>
      <c r="B122" s="1">
        <v>44619</v>
      </c>
      <c r="C122">
        <v>2022</v>
      </c>
      <c r="D122">
        <v>2</v>
      </c>
      <c r="E122" t="s">
        <v>52</v>
      </c>
      <c r="F122" t="s">
        <v>53</v>
      </c>
      <c r="G122" t="s">
        <v>78</v>
      </c>
      <c r="H122" t="s">
        <v>68</v>
      </c>
      <c r="I122" t="s">
        <v>60</v>
      </c>
      <c r="J122" t="s">
        <v>61</v>
      </c>
      <c r="K122" t="s">
        <v>62</v>
      </c>
      <c r="L122" t="s">
        <v>83</v>
      </c>
      <c r="M122" t="s">
        <v>56</v>
      </c>
      <c r="N122">
        <v>0</v>
      </c>
      <c r="O122" t="s">
        <v>34</v>
      </c>
      <c r="P122" t="s">
        <v>35</v>
      </c>
      <c r="Q122" t="s">
        <v>81</v>
      </c>
      <c r="R122" t="s">
        <v>57</v>
      </c>
      <c r="S122" t="s">
        <v>38</v>
      </c>
      <c r="T122">
        <v>8</v>
      </c>
      <c r="U122">
        <v>117867</v>
      </c>
      <c r="V122">
        <v>1</v>
      </c>
      <c r="W122">
        <v>0</v>
      </c>
      <c r="X122">
        <v>0</v>
      </c>
      <c r="Y122">
        <f>IF(tbl_Incidents[[#This Row],[Lost_Time_Days]]&gt;0, 1, 0)</f>
        <v>0</v>
      </c>
      <c r="Z122" s="1">
        <f>DATE(tbl_Incidents[[#This Row],[Year]], tbl_Incidents[[#This Row],[Month]], 1)</f>
        <v>44593</v>
      </c>
      <c r="AA122" t="str">
        <f t="shared" si="1"/>
        <v>Broome Logistics Hub|2022-02</v>
      </c>
    </row>
    <row r="123" spans="1:27" x14ac:dyDescent="0.35">
      <c r="A123" t="s">
        <v>221</v>
      </c>
      <c r="B123" s="1">
        <v>45081</v>
      </c>
      <c r="C123">
        <v>2023</v>
      </c>
      <c r="D123">
        <v>6</v>
      </c>
      <c r="E123" t="s">
        <v>72</v>
      </c>
      <c r="F123" t="s">
        <v>41</v>
      </c>
      <c r="G123" t="s">
        <v>78</v>
      </c>
      <c r="H123" t="s">
        <v>43</v>
      </c>
      <c r="I123" t="s">
        <v>110</v>
      </c>
      <c r="J123" t="s">
        <v>61</v>
      </c>
      <c r="K123" t="s">
        <v>147</v>
      </c>
      <c r="L123" t="s">
        <v>83</v>
      </c>
      <c r="M123" t="s">
        <v>46</v>
      </c>
      <c r="N123">
        <v>15</v>
      </c>
      <c r="O123" t="s">
        <v>75</v>
      </c>
      <c r="P123" t="s">
        <v>35</v>
      </c>
      <c r="Q123" t="s">
        <v>81</v>
      </c>
      <c r="R123" t="s">
        <v>37</v>
      </c>
      <c r="S123" t="s">
        <v>88</v>
      </c>
      <c r="T123">
        <v>12</v>
      </c>
      <c r="U123">
        <v>59773</v>
      </c>
      <c r="V123">
        <v>1</v>
      </c>
      <c r="W123">
        <v>0</v>
      </c>
      <c r="X123">
        <v>1</v>
      </c>
      <c r="Y123">
        <f>IF(tbl_Incidents[[#This Row],[Lost_Time_Days]]&gt;0, 1, 0)</f>
        <v>1</v>
      </c>
      <c r="Z123" s="1">
        <f>DATE(tbl_Incidents[[#This Row],[Year]], tbl_Incidents[[#This Row],[Month]], 1)</f>
        <v>45078</v>
      </c>
      <c r="AA123" t="str">
        <f t="shared" si="1"/>
        <v>Broome Logistics Hub|2023-06</v>
      </c>
    </row>
    <row r="124" spans="1:27" x14ac:dyDescent="0.35">
      <c r="A124" t="s">
        <v>222</v>
      </c>
      <c r="B124" s="1">
        <v>45023</v>
      </c>
      <c r="C124">
        <v>2023</v>
      </c>
      <c r="D124">
        <v>4</v>
      </c>
      <c r="E124" t="s">
        <v>40</v>
      </c>
      <c r="F124" t="s">
        <v>41</v>
      </c>
      <c r="G124" t="s">
        <v>59</v>
      </c>
      <c r="H124" t="s">
        <v>28</v>
      </c>
      <c r="I124" t="s">
        <v>29</v>
      </c>
      <c r="J124" t="s">
        <v>30</v>
      </c>
      <c r="K124" t="s">
        <v>31</v>
      </c>
      <c r="L124" t="s">
        <v>74</v>
      </c>
      <c r="M124" t="s">
        <v>46</v>
      </c>
      <c r="N124">
        <v>0</v>
      </c>
      <c r="O124" t="s">
        <v>75</v>
      </c>
      <c r="P124" t="s">
        <v>35</v>
      </c>
      <c r="Q124" t="s">
        <v>36</v>
      </c>
      <c r="R124" t="s">
        <v>57</v>
      </c>
      <c r="S124" t="s">
        <v>88</v>
      </c>
      <c r="T124">
        <v>11</v>
      </c>
      <c r="U124">
        <v>108690</v>
      </c>
      <c r="V124">
        <v>0</v>
      </c>
      <c r="W124">
        <v>0</v>
      </c>
      <c r="X124">
        <v>0</v>
      </c>
      <c r="Y124">
        <f>IF(tbl_Incidents[[#This Row],[Lost_Time_Days]]&gt;0, 1, 0)</f>
        <v>0</v>
      </c>
      <c r="Z124" s="1">
        <f>DATE(tbl_Incidents[[#This Row],[Year]], tbl_Incidents[[#This Row],[Month]], 1)</f>
        <v>45017</v>
      </c>
      <c r="AA124" t="str">
        <f t="shared" si="1"/>
        <v>Pilbara Crusher Plant|2023-04</v>
      </c>
    </row>
    <row r="125" spans="1:27" x14ac:dyDescent="0.35">
      <c r="A125" t="s">
        <v>223</v>
      </c>
      <c r="B125" s="1">
        <v>44724</v>
      </c>
      <c r="C125">
        <v>2022</v>
      </c>
      <c r="D125">
        <v>6</v>
      </c>
      <c r="E125" t="s">
        <v>72</v>
      </c>
      <c r="F125" t="s">
        <v>41</v>
      </c>
      <c r="G125" t="s">
        <v>59</v>
      </c>
      <c r="H125" t="s">
        <v>120</v>
      </c>
      <c r="I125" t="s">
        <v>60</v>
      </c>
      <c r="J125" t="s">
        <v>61</v>
      </c>
      <c r="K125" t="s">
        <v>139</v>
      </c>
      <c r="L125" t="s">
        <v>55</v>
      </c>
      <c r="M125" t="s">
        <v>56</v>
      </c>
      <c r="N125">
        <v>0</v>
      </c>
      <c r="O125" t="s">
        <v>75</v>
      </c>
      <c r="P125" t="s">
        <v>35</v>
      </c>
      <c r="Q125" t="s">
        <v>81</v>
      </c>
      <c r="R125" t="s">
        <v>57</v>
      </c>
      <c r="S125" t="s">
        <v>38</v>
      </c>
      <c r="T125">
        <v>8</v>
      </c>
      <c r="U125">
        <v>113133</v>
      </c>
      <c r="V125">
        <v>1</v>
      </c>
      <c r="W125">
        <v>0</v>
      </c>
      <c r="X125">
        <v>0</v>
      </c>
      <c r="Y125">
        <f>IF(tbl_Incidents[[#This Row],[Lost_Time_Days]]&gt;0, 1, 0)</f>
        <v>0</v>
      </c>
      <c r="Z125" s="1">
        <f>DATE(tbl_Incidents[[#This Row],[Year]], tbl_Incidents[[#This Row],[Month]], 1)</f>
        <v>44713</v>
      </c>
      <c r="AA125" t="str">
        <f t="shared" si="1"/>
        <v>Pilbara Crusher Plant|2022-06</v>
      </c>
    </row>
    <row r="126" spans="1:27" x14ac:dyDescent="0.35">
      <c r="A126" t="s">
        <v>224</v>
      </c>
      <c r="B126" s="1">
        <v>45256</v>
      </c>
      <c r="C126">
        <v>2023</v>
      </c>
      <c r="D126">
        <v>11</v>
      </c>
      <c r="E126" t="s">
        <v>107</v>
      </c>
      <c r="F126" t="s">
        <v>26</v>
      </c>
      <c r="G126" t="s">
        <v>59</v>
      </c>
      <c r="H126" t="s">
        <v>28</v>
      </c>
      <c r="I126" t="s">
        <v>110</v>
      </c>
      <c r="J126" t="s">
        <v>61</v>
      </c>
      <c r="K126" t="s">
        <v>31</v>
      </c>
      <c r="L126" t="s">
        <v>93</v>
      </c>
      <c r="M126" t="s">
        <v>56</v>
      </c>
      <c r="N126">
        <v>10</v>
      </c>
      <c r="O126" t="s">
        <v>34</v>
      </c>
      <c r="P126" t="s">
        <v>35</v>
      </c>
      <c r="Q126" t="s">
        <v>81</v>
      </c>
      <c r="R126" t="s">
        <v>57</v>
      </c>
      <c r="S126" t="s">
        <v>88</v>
      </c>
      <c r="T126">
        <v>9</v>
      </c>
      <c r="U126">
        <v>117993</v>
      </c>
      <c r="V126">
        <v>1</v>
      </c>
      <c r="W126">
        <v>0</v>
      </c>
      <c r="X126">
        <v>1</v>
      </c>
      <c r="Y126">
        <f>IF(tbl_Incidents[[#This Row],[Lost_Time_Days]]&gt;0, 1, 0)</f>
        <v>1</v>
      </c>
      <c r="Z126" s="1">
        <f>DATE(tbl_Incidents[[#This Row],[Year]], tbl_Incidents[[#This Row],[Month]], 1)</f>
        <v>45231</v>
      </c>
      <c r="AA126" t="str">
        <f t="shared" si="1"/>
        <v>Pilbara Crusher Plant|2023-11</v>
      </c>
    </row>
    <row r="127" spans="1:27" x14ac:dyDescent="0.35">
      <c r="A127" t="s">
        <v>225</v>
      </c>
      <c r="B127" s="1">
        <v>44648</v>
      </c>
      <c r="C127">
        <v>2022</v>
      </c>
      <c r="D127">
        <v>3</v>
      </c>
      <c r="E127" t="s">
        <v>125</v>
      </c>
      <c r="F127" t="s">
        <v>53</v>
      </c>
      <c r="G127" t="s">
        <v>78</v>
      </c>
      <c r="H127" t="s">
        <v>86</v>
      </c>
      <c r="I127" t="s">
        <v>60</v>
      </c>
      <c r="J127" t="s">
        <v>61</v>
      </c>
      <c r="K127" t="s">
        <v>117</v>
      </c>
      <c r="L127" t="s">
        <v>93</v>
      </c>
      <c r="M127" t="s">
        <v>46</v>
      </c>
      <c r="N127">
        <v>0</v>
      </c>
      <c r="O127" t="s">
        <v>75</v>
      </c>
      <c r="P127" t="s">
        <v>35</v>
      </c>
      <c r="Q127" t="s">
        <v>64</v>
      </c>
      <c r="R127" t="s">
        <v>37</v>
      </c>
      <c r="S127" t="s">
        <v>38</v>
      </c>
      <c r="T127">
        <v>8</v>
      </c>
      <c r="U127">
        <v>87526</v>
      </c>
      <c r="V127">
        <v>1</v>
      </c>
      <c r="W127">
        <v>0</v>
      </c>
      <c r="X127">
        <v>0</v>
      </c>
      <c r="Y127">
        <f>IF(tbl_Incidents[[#This Row],[Lost_Time_Days]]&gt;0, 1, 0)</f>
        <v>0</v>
      </c>
      <c r="Z127" s="1">
        <f>DATE(tbl_Incidents[[#This Row],[Year]], tbl_Incidents[[#This Row],[Month]], 1)</f>
        <v>44621</v>
      </c>
      <c r="AA127" t="str">
        <f t="shared" si="1"/>
        <v>Broome Logistics Hub|2022-03</v>
      </c>
    </row>
    <row r="128" spans="1:27" x14ac:dyDescent="0.35">
      <c r="A128" t="s">
        <v>226</v>
      </c>
      <c r="B128" s="1">
        <v>44878</v>
      </c>
      <c r="C128">
        <v>2022</v>
      </c>
      <c r="D128">
        <v>11</v>
      </c>
      <c r="E128" t="s">
        <v>107</v>
      </c>
      <c r="F128" t="s">
        <v>26</v>
      </c>
      <c r="G128" t="s">
        <v>42</v>
      </c>
      <c r="H128" t="s">
        <v>120</v>
      </c>
      <c r="I128" t="s">
        <v>44</v>
      </c>
      <c r="J128" t="s">
        <v>30</v>
      </c>
      <c r="K128" t="s">
        <v>31</v>
      </c>
      <c r="L128" t="s">
        <v>100</v>
      </c>
      <c r="M128" t="s">
        <v>33</v>
      </c>
      <c r="N128">
        <v>0</v>
      </c>
      <c r="O128" t="s">
        <v>34</v>
      </c>
      <c r="P128" t="s">
        <v>35</v>
      </c>
      <c r="Q128" t="s">
        <v>36</v>
      </c>
      <c r="R128" t="s">
        <v>57</v>
      </c>
      <c r="S128" t="s">
        <v>38</v>
      </c>
      <c r="T128">
        <v>12</v>
      </c>
      <c r="U128">
        <v>110748</v>
      </c>
      <c r="V128">
        <v>0</v>
      </c>
      <c r="W128">
        <v>0</v>
      </c>
      <c r="X128">
        <v>0</v>
      </c>
      <c r="Y128">
        <f>IF(tbl_Incidents[[#This Row],[Lost_Time_Days]]&gt;0, 1, 0)</f>
        <v>0</v>
      </c>
      <c r="Z128" s="1">
        <f>DATE(tbl_Incidents[[#This Row],[Year]], tbl_Incidents[[#This Row],[Month]], 1)</f>
        <v>44866</v>
      </c>
      <c r="AA128" t="str">
        <f t="shared" si="1"/>
        <v>Darwin Port Facility|2022-11</v>
      </c>
    </row>
    <row r="129" spans="1:27" x14ac:dyDescent="0.35">
      <c r="A129" t="s">
        <v>227</v>
      </c>
      <c r="B129" s="1">
        <v>45417</v>
      </c>
      <c r="C129">
        <v>2024</v>
      </c>
      <c r="D129">
        <v>5</v>
      </c>
      <c r="E129" t="s">
        <v>109</v>
      </c>
      <c r="F129" t="s">
        <v>41</v>
      </c>
      <c r="G129" t="s">
        <v>78</v>
      </c>
      <c r="H129" t="s">
        <v>68</v>
      </c>
      <c r="I129" t="s">
        <v>79</v>
      </c>
      <c r="J129" t="s">
        <v>30</v>
      </c>
      <c r="K129" t="s">
        <v>31</v>
      </c>
      <c r="L129" t="s">
        <v>80</v>
      </c>
      <c r="M129" t="s">
        <v>46</v>
      </c>
      <c r="N129">
        <v>0</v>
      </c>
      <c r="O129" t="s">
        <v>34</v>
      </c>
      <c r="P129" t="s">
        <v>47</v>
      </c>
      <c r="Q129" t="s">
        <v>48</v>
      </c>
      <c r="R129" t="s">
        <v>57</v>
      </c>
      <c r="S129" t="s">
        <v>38</v>
      </c>
      <c r="T129">
        <v>12</v>
      </c>
      <c r="U129">
        <v>61697</v>
      </c>
      <c r="V129">
        <v>0</v>
      </c>
      <c r="W129">
        <v>0</v>
      </c>
      <c r="X129">
        <v>0</v>
      </c>
      <c r="Y129">
        <f>IF(tbl_Incidents[[#This Row],[Lost_Time_Days]]&gt;0, 1, 0)</f>
        <v>0</v>
      </c>
      <c r="Z129" s="1">
        <f>DATE(tbl_Incidents[[#This Row],[Year]], tbl_Incidents[[#This Row],[Month]], 1)</f>
        <v>45413</v>
      </c>
      <c r="AA129" t="str">
        <f t="shared" si="1"/>
        <v>Broome Logistics Hub|2024-05</v>
      </c>
    </row>
    <row r="130" spans="1:27" x14ac:dyDescent="0.35">
      <c r="A130" t="s">
        <v>228</v>
      </c>
      <c r="B130" s="1">
        <v>45300</v>
      </c>
      <c r="C130">
        <v>2024</v>
      </c>
      <c r="D130">
        <v>1</v>
      </c>
      <c r="E130" t="s">
        <v>129</v>
      </c>
      <c r="F130" t="s">
        <v>53</v>
      </c>
      <c r="G130" t="s">
        <v>105</v>
      </c>
      <c r="H130" t="s">
        <v>120</v>
      </c>
      <c r="I130" t="s">
        <v>110</v>
      </c>
      <c r="J130" t="s">
        <v>61</v>
      </c>
      <c r="K130" t="s">
        <v>69</v>
      </c>
      <c r="L130" t="s">
        <v>83</v>
      </c>
      <c r="M130" t="s">
        <v>46</v>
      </c>
      <c r="N130">
        <v>2</v>
      </c>
      <c r="O130" t="s">
        <v>34</v>
      </c>
      <c r="P130" t="s">
        <v>47</v>
      </c>
      <c r="Q130" t="s">
        <v>48</v>
      </c>
      <c r="R130" t="s">
        <v>37</v>
      </c>
      <c r="S130" t="s">
        <v>38</v>
      </c>
      <c r="T130">
        <v>10</v>
      </c>
      <c r="U130">
        <v>101474</v>
      </c>
      <c r="V130">
        <v>1</v>
      </c>
      <c r="W130">
        <v>0</v>
      </c>
      <c r="X130">
        <v>1</v>
      </c>
      <c r="Y130">
        <f>IF(tbl_Incidents[[#This Row],[Lost_Time_Days]]&gt;0, 1, 0)</f>
        <v>1</v>
      </c>
      <c r="Z130" s="1">
        <f>DATE(tbl_Incidents[[#This Row],[Year]], tbl_Incidents[[#This Row],[Month]], 1)</f>
        <v>45292</v>
      </c>
      <c r="AA130" t="str">
        <f t="shared" ref="AA130:AA193" si="2">G130&amp;"|"&amp;TEXT(Z130,"yyyy-mm")</f>
        <v>Katherine Processing Site|2024-01</v>
      </c>
    </row>
    <row r="131" spans="1:27" x14ac:dyDescent="0.35">
      <c r="A131" t="s">
        <v>229</v>
      </c>
      <c r="B131" s="1">
        <v>44760</v>
      </c>
      <c r="C131">
        <v>2022</v>
      </c>
      <c r="D131">
        <v>7</v>
      </c>
      <c r="E131" t="s">
        <v>85</v>
      </c>
      <c r="F131" t="s">
        <v>67</v>
      </c>
      <c r="G131" t="s">
        <v>78</v>
      </c>
      <c r="H131" t="s">
        <v>86</v>
      </c>
      <c r="I131" t="s">
        <v>60</v>
      </c>
      <c r="J131" t="s">
        <v>61</v>
      </c>
      <c r="K131" t="s">
        <v>31</v>
      </c>
      <c r="L131" t="s">
        <v>32</v>
      </c>
      <c r="M131" t="s">
        <v>56</v>
      </c>
      <c r="N131">
        <v>0</v>
      </c>
      <c r="O131" t="s">
        <v>90</v>
      </c>
      <c r="P131" t="s">
        <v>47</v>
      </c>
      <c r="Q131" t="s">
        <v>48</v>
      </c>
      <c r="R131" t="s">
        <v>57</v>
      </c>
      <c r="S131" t="s">
        <v>50</v>
      </c>
      <c r="T131">
        <v>9</v>
      </c>
      <c r="U131">
        <v>72768</v>
      </c>
      <c r="V131">
        <v>1</v>
      </c>
      <c r="W131">
        <v>0</v>
      </c>
      <c r="X131">
        <v>0</v>
      </c>
      <c r="Y131">
        <f>IF(tbl_Incidents[[#This Row],[Lost_Time_Days]]&gt;0, 1, 0)</f>
        <v>0</v>
      </c>
      <c r="Z131" s="1">
        <f>DATE(tbl_Incidents[[#This Row],[Year]], tbl_Incidents[[#This Row],[Month]], 1)</f>
        <v>44743</v>
      </c>
      <c r="AA131" t="str">
        <f t="shared" si="2"/>
        <v>Broome Logistics Hub|2022-07</v>
      </c>
    </row>
    <row r="132" spans="1:27" x14ac:dyDescent="0.35">
      <c r="A132" t="s">
        <v>230</v>
      </c>
      <c r="B132" s="1">
        <v>44615</v>
      </c>
      <c r="C132">
        <v>2022</v>
      </c>
      <c r="D132">
        <v>2</v>
      </c>
      <c r="E132" t="s">
        <v>52</v>
      </c>
      <c r="F132" t="s">
        <v>53</v>
      </c>
      <c r="G132" t="s">
        <v>105</v>
      </c>
      <c r="H132" t="s">
        <v>120</v>
      </c>
      <c r="I132" t="s">
        <v>79</v>
      </c>
      <c r="J132" t="s">
        <v>30</v>
      </c>
      <c r="K132" t="s">
        <v>31</v>
      </c>
      <c r="L132" t="s">
        <v>103</v>
      </c>
      <c r="M132" t="s">
        <v>33</v>
      </c>
      <c r="N132">
        <v>0</v>
      </c>
      <c r="O132" t="s">
        <v>75</v>
      </c>
      <c r="P132" t="s">
        <v>35</v>
      </c>
      <c r="Q132" t="s">
        <v>81</v>
      </c>
      <c r="R132" t="s">
        <v>57</v>
      </c>
      <c r="S132" t="s">
        <v>38</v>
      </c>
      <c r="T132">
        <v>10</v>
      </c>
      <c r="U132">
        <v>98893</v>
      </c>
      <c r="V132">
        <v>0</v>
      </c>
      <c r="W132">
        <v>0</v>
      </c>
      <c r="X132">
        <v>0</v>
      </c>
      <c r="Y132">
        <f>IF(tbl_Incidents[[#This Row],[Lost_Time_Days]]&gt;0, 1, 0)</f>
        <v>0</v>
      </c>
      <c r="Z132" s="1">
        <f>DATE(tbl_Incidents[[#This Row],[Year]], tbl_Incidents[[#This Row],[Month]], 1)</f>
        <v>44593</v>
      </c>
      <c r="AA132" t="str">
        <f t="shared" si="2"/>
        <v>Katherine Processing Site|2022-02</v>
      </c>
    </row>
    <row r="133" spans="1:27" x14ac:dyDescent="0.35">
      <c r="A133" t="s">
        <v>231</v>
      </c>
      <c r="B133" s="1">
        <v>45087</v>
      </c>
      <c r="C133">
        <v>2023</v>
      </c>
      <c r="D133">
        <v>6</v>
      </c>
      <c r="E133" t="s">
        <v>72</v>
      </c>
      <c r="F133" t="s">
        <v>41</v>
      </c>
      <c r="G133" t="s">
        <v>105</v>
      </c>
      <c r="H133" t="s">
        <v>68</v>
      </c>
      <c r="I133" t="s">
        <v>44</v>
      </c>
      <c r="J133" t="s">
        <v>30</v>
      </c>
      <c r="K133" t="s">
        <v>69</v>
      </c>
      <c r="L133" t="s">
        <v>83</v>
      </c>
      <c r="M133" t="s">
        <v>56</v>
      </c>
      <c r="N133">
        <v>0</v>
      </c>
      <c r="O133" t="s">
        <v>34</v>
      </c>
      <c r="P133" t="s">
        <v>47</v>
      </c>
      <c r="Q133" t="s">
        <v>36</v>
      </c>
      <c r="R133" t="s">
        <v>49</v>
      </c>
      <c r="S133" t="s">
        <v>50</v>
      </c>
      <c r="T133">
        <v>10</v>
      </c>
      <c r="U133">
        <v>70903</v>
      </c>
      <c r="V133">
        <v>0</v>
      </c>
      <c r="W133">
        <v>0</v>
      </c>
      <c r="X133">
        <v>0</v>
      </c>
      <c r="Y133">
        <f>IF(tbl_Incidents[[#This Row],[Lost_Time_Days]]&gt;0, 1, 0)</f>
        <v>0</v>
      </c>
      <c r="Z133" s="1">
        <f>DATE(tbl_Incidents[[#This Row],[Year]], tbl_Incidents[[#This Row],[Month]], 1)</f>
        <v>45078</v>
      </c>
      <c r="AA133" t="str">
        <f t="shared" si="2"/>
        <v>Katherine Processing Site|2023-06</v>
      </c>
    </row>
    <row r="134" spans="1:27" x14ac:dyDescent="0.35">
      <c r="A134" t="s">
        <v>232</v>
      </c>
      <c r="B134" s="1">
        <v>44957</v>
      </c>
      <c r="C134">
        <v>2023</v>
      </c>
      <c r="D134">
        <v>1</v>
      </c>
      <c r="E134" t="s">
        <v>129</v>
      </c>
      <c r="F134" t="s">
        <v>53</v>
      </c>
      <c r="G134" t="s">
        <v>59</v>
      </c>
      <c r="H134" t="s">
        <v>73</v>
      </c>
      <c r="I134" t="s">
        <v>29</v>
      </c>
      <c r="J134" t="s">
        <v>30</v>
      </c>
      <c r="K134" t="s">
        <v>31</v>
      </c>
      <c r="L134" t="s">
        <v>45</v>
      </c>
      <c r="M134" t="s">
        <v>56</v>
      </c>
      <c r="N134">
        <v>0</v>
      </c>
      <c r="O134" t="s">
        <v>34</v>
      </c>
      <c r="P134" t="s">
        <v>91</v>
      </c>
      <c r="Q134" t="s">
        <v>48</v>
      </c>
      <c r="R134" t="s">
        <v>57</v>
      </c>
      <c r="S134" t="s">
        <v>38</v>
      </c>
      <c r="T134">
        <v>10</v>
      </c>
      <c r="U134">
        <v>101925</v>
      </c>
      <c r="V134">
        <v>0</v>
      </c>
      <c r="W134">
        <v>0</v>
      </c>
      <c r="X134">
        <v>0</v>
      </c>
      <c r="Y134">
        <f>IF(tbl_Incidents[[#This Row],[Lost_Time_Days]]&gt;0, 1, 0)</f>
        <v>0</v>
      </c>
      <c r="Z134" s="1">
        <f>DATE(tbl_Incidents[[#This Row],[Year]], tbl_Incidents[[#This Row],[Month]], 1)</f>
        <v>44927</v>
      </c>
      <c r="AA134" t="str">
        <f t="shared" si="2"/>
        <v>Pilbara Crusher Plant|2023-01</v>
      </c>
    </row>
    <row r="135" spans="1:27" x14ac:dyDescent="0.35">
      <c r="A135" t="s">
        <v>233</v>
      </c>
      <c r="B135" s="1">
        <v>44704</v>
      </c>
      <c r="C135">
        <v>2022</v>
      </c>
      <c r="D135">
        <v>5</v>
      </c>
      <c r="E135" t="s">
        <v>109</v>
      </c>
      <c r="F135" t="s">
        <v>41</v>
      </c>
      <c r="G135" t="s">
        <v>105</v>
      </c>
      <c r="H135" t="s">
        <v>86</v>
      </c>
      <c r="I135" t="s">
        <v>54</v>
      </c>
      <c r="J135" t="s">
        <v>30</v>
      </c>
      <c r="K135" t="s">
        <v>31</v>
      </c>
      <c r="L135" t="s">
        <v>95</v>
      </c>
      <c r="M135" t="s">
        <v>33</v>
      </c>
      <c r="N135">
        <v>0</v>
      </c>
      <c r="O135" t="s">
        <v>34</v>
      </c>
      <c r="P135" t="s">
        <v>35</v>
      </c>
      <c r="Q135" t="s">
        <v>81</v>
      </c>
      <c r="R135" t="s">
        <v>57</v>
      </c>
      <c r="S135" t="s">
        <v>38</v>
      </c>
      <c r="T135">
        <v>12</v>
      </c>
      <c r="U135">
        <v>119807</v>
      </c>
      <c r="V135">
        <v>0</v>
      </c>
      <c r="W135">
        <v>0</v>
      </c>
      <c r="X135">
        <v>0</v>
      </c>
      <c r="Y135">
        <f>IF(tbl_Incidents[[#This Row],[Lost_Time_Days]]&gt;0, 1, 0)</f>
        <v>0</v>
      </c>
      <c r="Z135" s="1">
        <f>DATE(tbl_Incidents[[#This Row],[Year]], tbl_Incidents[[#This Row],[Month]], 1)</f>
        <v>44682</v>
      </c>
      <c r="AA135" t="str">
        <f t="shared" si="2"/>
        <v>Katherine Processing Site|2022-05</v>
      </c>
    </row>
    <row r="136" spans="1:27" x14ac:dyDescent="0.35">
      <c r="A136" t="s">
        <v>234</v>
      </c>
      <c r="B136" s="1">
        <v>45102</v>
      </c>
      <c r="C136">
        <v>2023</v>
      </c>
      <c r="D136">
        <v>6</v>
      </c>
      <c r="E136" t="s">
        <v>72</v>
      </c>
      <c r="F136" t="s">
        <v>41</v>
      </c>
      <c r="G136" t="s">
        <v>59</v>
      </c>
      <c r="H136" t="s">
        <v>73</v>
      </c>
      <c r="I136" t="s">
        <v>110</v>
      </c>
      <c r="J136" t="s">
        <v>61</v>
      </c>
      <c r="K136" t="s">
        <v>62</v>
      </c>
      <c r="L136" t="s">
        <v>74</v>
      </c>
      <c r="M136" t="s">
        <v>33</v>
      </c>
      <c r="N136">
        <v>4</v>
      </c>
      <c r="O136" t="s">
        <v>34</v>
      </c>
      <c r="P136" t="s">
        <v>47</v>
      </c>
      <c r="Q136" t="s">
        <v>76</v>
      </c>
      <c r="R136" t="s">
        <v>49</v>
      </c>
      <c r="S136" t="s">
        <v>38</v>
      </c>
      <c r="T136">
        <v>8</v>
      </c>
      <c r="U136">
        <v>105513</v>
      </c>
      <c r="V136">
        <v>1</v>
      </c>
      <c r="W136">
        <v>0</v>
      </c>
      <c r="X136">
        <v>0</v>
      </c>
      <c r="Y136">
        <f>IF(tbl_Incidents[[#This Row],[Lost_Time_Days]]&gt;0, 1, 0)</f>
        <v>1</v>
      </c>
      <c r="Z136" s="1">
        <f>DATE(tbl_Incidents[[#This Row],[Year]], tbl_Incidents[[#This Row],[Month]], 1)</f>
        <v>45078</v>
      </c>
      <c r="AA136" t="str">
        <f t="shared" si="2"/>
        <v>Pilbara Crusher Plant|2023-06</v>
      </c>
    </row>
    <row r="137" spans="1:27" x14ac:dyDescent="0.35">
      <c r="A137" t="s">
        <v>235</v>
      </c>
      <c r="B137" s="1">
        <v>44578</v>
      </c>
      <c r="C137">
        <v>2022</v>
      </c>
      <c r="D137">
        <v>1</v>
      </c>
      <c r="E137" t="s">
        <v>129</v>
      </c>
      <c r="F137" t="s">
        <v>53</v>
      </c>
      <c r="G137" t="s">
        <v>78</v>
      </c>
      <c r="H137" t="s">
        <v>43</v>
      </c>
      <c r="I137" t="s">
        <v>79</v>
      </c>
      <c r="J137" t="s">
        <v>30</v>
      </c>
      <c r="K137" t="s">
        <v>31</v>
      </c>
      <c r="L137" t="s">
        <v>100</v>
      </c>
      <c r="M137" t="s">
        <v>46</v>
      </c>
      <c r="N137">
        <v>0</v>
      </c>
      <c r="O137" t="s">
        <v>34</v>
      </c>
      <c r="P137" t="s">
        <v>91</v>
      </c>
      <c r="Q137" t="s">
        <v>64</v>
      </c>
      <c r="R137" t="s">
        <v>57</v>
      </c>
      <c r="S137" t="s">
        <v>50</v>
      </c>
      <c r="T137">
        <v>10</v>
      </c>
      <c r="U137">
        <v>71531</v>
      </c>
      <c r="V137">
        <v>0</v>
      </c>
      <c r="W137">
        <v>0</v>
      </c>
      <c r="X137">
        <v>0</v>
      </c>
      <c r="Y137">
        <f>IF(tbl_Incidents[[#This Row],[Lost_Time_Days]]&gt;0, 1, 0)</f>
        <v>0</v>
      </c>
      <c r="Z137" s="1">
        <f>DATE(tbl_Incidents[[#This Row],[Year]], tbl_Incidents[[#This Row],[Month]], 1)</f>
        <v>44562</v>
      </c>
      <c r="AA137" t="str">
        <f t="shared" si="2"/>
        <v>Broome Logistics Hub|2022-01</v>
      </c>
    </row>
    <row r="138" spans="1:27" x14ac:dyDescent="0.35">
      <c r="A138" t="s">
        <v>236</v>
      </c>
      <c r="B138" s="1">
        <v>45146</v>
      </c>
      <c r="C138">
        <v>2023</v>
      </c>
      <c r="D138">
        <v>8</v>
      </c>
      <c r="E138" t="s">
        <v>66</v>
      </c>
      <c r="F138" t="s">
        <v>67</v>
      </c>
      <c r="G138" t="s">
        <v>27</v>
      </c>
      <c r="H138" t="s">
        <v>43</v>
      </c>
      <c r="I138" t="s">
        <v>110</v>
      </c>
      <c r="J138" t="s">
        <v>61</v>
      </c>
      <c r="K138" t="s">
        <v>117</v>
      </c>
      <c r="L138" t="s">
        <v>74</v>
      </c>
      <c r="M138" t="s">
        <v>46</v>
      </c>
      <c r="N138">
        <v>6</v>
      </c>
      <c r="O138" t="s">
        <v>90</v>
      </c>
      <c r="P138" t="s">
        <v>35</v>
      </c>
      <c r="Q138" t="s">
        <v>64</v>
      </c>
      <c r="R138" t="s">
        <v>49</v>
      </c>
      <c r="S138" t="s">
        <v>38</v>
      </c>
      <c r="T138">
        <v>11</v>
      </c>
      <c r="U138">
        <v>88929</v>
      </c>
      <c r="V138">
        <v>1</v>
      </c>
      <c r="W138">
        <v>0</v>
      </c>
      <c r="X138">
        <v>0</v>
      </c>
      <c r="Y138">
        <f>IF(tbl_Incidents[[#This Row],[Lost_Time_Days]]&gt;0, 1, 0)</f>
        <v>1</v>
      </c>
      <c r="Z138" s="1">
        <f>DATE(tbl_Incidents[[#This Row],[Year]], tbl_Incidents[[#This Row],[Month]], 1)</f>
        <v>45139</v>
      </c>
      <c r="AA138" t="str">
        <f t="shared" si="2"/>
        <v>Thunderbird Mine|2023-08</v>
      </c>
    </row>
    <row r="139" spans="1:27" x14ac:dyDescent="0.35">
      <c r="A139" t="s">
        <v>237</v>
      </c>
      <c r="B139" s="1">
        <v>44578</v>
      </c>
      <c r="C139">
        <v>2022</v>
      </c>
      <c r="D139">
        <v>1</v>
      </c>
      <c r="E139" t="s">
        <v>129</v>
      </c>
      <c r="F139" t="s">
        <v>53</v>
      </c>
      <c r="G139" t="s">
        <v>27</v>
      </c>
      <c r="H139" t="s">
        <v>120</v>
      </c>
      <c r="I139" t="s">
        <v>60</v>
      </c>
      <c r="J139" t="s">
        <v>61</v>
      </c>
      <c r="K139" t="s">
        <v>69</v>
      </c>
      <c r="L139" t="s">
        <v>74</v>
      </c>
      <c r="M139" t="s">
        <v>46</v>
      </c>
      <c r="N139">
        <v>0</v>
      </c>
      <c r="O139" t="s">
        <v>75</v>
      </c>
      <c r="P139" t="s">
        <v>91</v>
      </c>
      <c r="Q139" t="s">
        <v>48</v>
      </c>
      <c r="R139" t="s">
        <v>57</v>
      </c>
      <c r="S139" t="s">
        <v>38</v>
      </c>
      <c r="T139">
        <v>12</v>
      </c>
      <c r="U139">
        <v>84374</v>
      </c>
      <c r="V139">
        <v>1</v>
      </c>
      <c r="W139">
        <v>0</v>
      </c>
      <c r="X139">
        <v>0</v>
      </c>
      <c r="Y139">
        <f>IF(tbl_Incidents[[#This Row],[Lost_Time_Days]]&gt;0, 1, 0)</f>
        <v>0</v>
      </c>
      <c r="Z139" s="1">
        <f>DATE(tbl_Incidents[[#This Row],[Year]], tbl_Incidents[[#This Row],[Month]], 1)</f>
        <v>44562</v>
      </c>
      <c r="AA139" t="str">
        <f t="shared" si="2"/>
        <v>Thunderbird Mine|2022-01</v>
      </c>
    </row>
    <row r="140" spans="1:27" x14ac:dyDescent="0.35">
      <c r="A140" t="s">
        <v>238</v>
      </c>
      <c r="B140" s="1">
        <v>45395</v>
      </c>
      <c r="C140">
        <v>2024</v>
      </c>
      <c r="D140">
        <v>4</v>
      </c>
      <c r="E140" t="s">
        <v>40</v>
      </c>
      <c r="F140" t="s">
        <v>41</v>
      </c>
      <c r="G140" t="s">
        <v>42</v>
      </c>
      <c r="H140" t="s">
        <v>28</v>
      </c>
      <c r="I140" t="s">
        <v>79</v>
      </c>
      <c r="J140" t="s">
        <v>30</v>
      </c>
      <c r="K140" t="s">
        <v>31</v>
      </c>
      <c r="L140" t="s">
        <v>83</v>
      </c>
      <c r="M140" t="s">
        <v>46</v>
      </c>
      <c r="N140">
        <v>0</v>
      </c>
      <c r="O140" t="s">
        <v>63</v>
      </c>
      <c r="P140" t="s">
        <v>35</v>
      </c>
      <c r="Q140" t="s">
        <v>48</v>
      </c>
      <c r="R140" t="s">
        <v>57</v>
      </c>
      <c r="S140" t="s">
        <v>88</v>
      </c>
      <c r="T140">
        <v>8</v>
      </c>
      <c r="U140">
        <v>78462</v>
      </c>
      <c r="V140">
        <v>0</v>
      </c>
      <c r="W140">
        <v>0</v>
      </c>
      <c r="X140">
        <v>0</v>
      </c>
      <c r="Y140">
        <f>IF(tbl_Incidents[[#This Row],[Lost_Time_Days]]&gt;0, 1, 0)</f>
        <v>0</v>
      </c>
      <c r="Z140" s="1">
        <f>DATE(tbl_Incidents[[#This Row],[Year]], tbl_Incidents[[#This Row],[Month]], 1)</f>
        <v>45383</v>
      </c>
      <c r="AA140" t="str">
        <f t="shared" si="2"/>
        <v>Darwin Port Facility|2024-04</v>
      </c>
    </row>
    <row r="141" spans="1:27" x14ac:dyDescent="0.35">
      <c r="A141" t="s">
        <v>239</v>
      </c>
      <c r="B141" s="1">
        <v>44768</v>
      </c>
      <c r="C141">
        <v>2022</v>
      </c>
      <c r="D141">
        <v>7</v>
      </c>
      <c r="E141" t="s">
        <v>85</v>
      </c>
      <c r="F141" t="s">
        <v>67</v>
      </c>
      <c r="G141" t="s">
        <v>42</v>
      </c>
      <c r="H141" t="s">
        <v>68</v>
      </c>
      <c r="I141" t="s">
        <v>29</v>
      </c>
      <c r="J141" t="s">
        <v>30</v>
      </c>
      <c r="K141" t="s">
        <v>31</v>
      </c>
      <c r="L141" t="s">
        <v>80</v>
      </c>
      <c r="M141" t="s">
        <v>56</v>
      </c>
      <c r="N141">
        <v>0</v>
      </c>
      <c r="O141" t="s">
        <v>90</v>
      </c>
      <c r="P141" t="s">
        <v>47</v>
      </c>
      <c r="Q141" t="s">
        <v>76</v>
      </c>
      <c r="R141" t="s">
        <v>49</v>
      </c>
      <c r="S141" t="s">
        <v>38</v>
      </c>
      <c r="T141">
        <v>8</v>
      </c>
      <c r="U141">
        <v>65048</v>
      </c>
      <c r="V141">
        <v>0</v>
      </c>
      <c r="W141">
        <v>0</v>
      </c>
      <c r="X141">
        <v>0</v>
      </c>
      <c r="Y141">
        <f>IF(tbl_Incidents[[#This Row],[Lost_Time_Days]]&gt;0, 1, 0)</f>
        <v>0</v>
      </c>
      <c r="Z141" s="1">
        <f>DATE(tbl_Incidents[[#This Row],[Year]], tbl_Incidents[[#This Row],[Month]], 1)</f>
        <v>44743</v>
      </c>
      <c r="AA141" t="str">
        <f t="shared" si="2"/>
        <v>Darwin Port Facility|2022-07</v>
      </c>
    </row>
    <row r="142" spans="1:27" x14ac:dyDescent="0.35">
      <c r="A142" t="s">
        <v>240</v>
      </c>
      <c r="B142" s="1">
        <v>45444</v>
      </c>
      <c r="C142">
        <v>2024</v>
      </c>
      <c r="D142">
        <v>6</v>
      </c>
      <c r="E142" t="s">
        <v>72</v>
      </c>
      <c r="F142" t="s">
        <v>41</v>
      </c>
      <c r="G142" t="s">
        <v>27</v>
      </c>
      <c r="H142" t="s">
        <v>28</v>
      </c>
      <c r="I142" t="s">
        <v>54</v>
      </c>
      <c r="J142" t="s">
        <v>30</v>
      </c>
      <c r="K142" t="s">
        <v>31</v>
      </c>
      <c r="L142" t="s">
        <v>80</v>
      </c>
      <c r="M142" t="s">
        <v>56</v>
      </c>
      <c r="N142">
        <v>0</v>
      </c>
      <c r="O142" t="s">
        <v>34</v>
      </c>
      <c r="P142" t="s">
        <v>91</v>
      </c>
      <c r="Q142" t="s">
        <v>64</v>
      </c>
      <c r="R142" t="s">
        <v>49</v>
      </c>
      <c r="S142" t="s">
        <v>88</v>
      </c>
      <c r="T142">
        <v>11</v>
      </c>
      <c r="U142">
        <v>84438</v>
      </c>
      <c r="V142">
        <v>0</v>
      </c>
      <c r="W142">
        <v>0</v>
      </c>
      <c r="X142">
        <v>0</v>
      </c>
      <c r="Y142">
        <f>IF(tbl_Incidents[[#This Row],[Lost_Time_Days]]&gt;0, 1, 0)</f>
        <v>0</v>
      </c>
      <c r="Z142" s="1">
        <f>DATE(tbl_Incidents[[#This Row],[Year]], tbl_Incidents[[#This Row],[Month]], 1)</f>
        <v>45444</v>
      </c>
      <c r="AA142" t="str">
        <f t="shared" si="2"/>
        <v>Thunderbird Mine|2024-06</v>
      </c>
    </row>
    <row r="143" spans="1:27" x14ac:dyDescent="0.35">
      <c r="A143" t="s">
        <v>241</v>
      </c>
      <c r="B143" s="1">
        <v>44753</v>
      </c>
      <c r="C143">
        <v>2022</v>
      </c>
      <c r="D143">
        <v>7</v>
      </c>
      <c r="E143" t="s">
        <v>85</v>
      </c>
      <c r="F143" t="s">
        <v>67</v>
      </c>
      <c r="G143" t="s">
        <v>105</v>
      </c>
      <c r="H143" t="s">
        <v>120</v>
      </c>
      <c r="I143" t="s">
        <v>110</v>
      </c>
      <c r="J143" t="s">
        <v>61</v>
      </c>
      <c r="K143" t="s">
        <v>31</v>
      </c>
      <c r="L143" t="s">
        <v>32</v>
      </c>
      <c r="M143" t="s">
        <v>33</v>
      </c>
      <c r="N143">
        <v>23</v>
      </c>
      <c r="O143" t="s">
        <v>75</v>
      </c>
      <c r="P143" t="s">
        <v>47</v>
      </c>
      <c r="Q143" t="s">
        <v>36</v>
      </c>
      <c r="R143" t="s">
        <v>49</v>
      </c>
      <c r="S143" t="s">
        <v>50</v>
      </c>
      <c r="T143">
        <v>9</v>
      </c>
      <c r="U143">
        <v>111496</v>
      </c>
      <c r="V143">
        <v>1</v>
      </c>
      <c r="W143">
        <v>0</v>
      </c>
      <c r="X143">
        <v>0</v>
      </c>
      <c r="Y143">
        <f>IF(tbl_Incidents[[#This Row],[Lost_Time_Days]]&gt;0, 1, 0)</f>
        <v>1</v>
      </c>
      <c r="Z143" s="1">
        <f>DATE(tbl_Incidents[[#This Row],[Year]], tbl_Incidents[[#This Row],[Month]], 1)</f>
        <v>44743</v>
      </c>
      <c r="AA143" t="str">
        <f t="shared" si="2"/>
        <v>Katherine Processing Site|2022-07</v>
      </c>
    </row>
    <row r="144" spans="1:27" x14ac:dyDescent="0.35">
      <c r="A144" t="s">
        <v>242</v>
      </c>
      <c r="B144" s="1">
        <v>44667</v>
      </c>
      <c r="C144">
        <v>2022</v>
      </c>
      <c r="D144">
        <v>4</v>
      </c>
      <c r="E144" t="s">
        <v>40</v>
      </c>
      <c r="F144" t="s">
        <v>41</v>
      </c>
      <c r="G144" t="s">
        <v>59</v>
      </c>
      <c r="H144" t="s">
        <v>28</v>
      </c>
      <c r="I144" t="s">
        <v>29</v>
      </c>
      <c r="J144" t="s">
        <v>30</v>
      </c>
      <c r="K144" t="s">
        <v>31</v>
      </c>
      <c r="L144" t="s">
        <v>32</v>
      </c>
      <c r="M144" t="s">
        <v>56</v>
      </c>
      <c r="N144">
        <v>0</v>
      </c>
      <c r="O144" t="s">
        <v>63</v>
      </c>
      <c r="P144" t="s">
        <v>47</v>
      </c>
      <c r="Q144" t="s">
        <v>48</v>
      </c>
      <c r="R144" t="s">
        <v>49</v>
      </c>
      <c r="S144" t="s">
        <v>38</v>
      </c>
      <c r="T144">
        <v>11</v>
      </c>
      <c r="U144">
        <v>45551</v>
      </c>
      <c r="V144">
        <v>0</v>
      </c>
      <c r="W144">
        <v>0</v>
      </c>
      <c r="X144">
        <v>1</v>
      </c>
      <c r="Y144">
        <f>IF(tbl_Incidents[[#This Row],[Lost_Time_Days]]&gt;0, 1, 0)</f>
        <v>0</v>
      </c>
      <c r="Z144" s="1">
        <f>DATE(tbl_Incidents[[#This Row],[Year]], tbl_Incidents[[#This Row],[Month]], 1)</f>
        <v>44652</v>
      </c>
      <c r="AA144" t="str">
        <f t="shared" si="2"/>
        <v>Pilbara Crusher Plant|2022-04</v>
      </c>
    </row>
    <row r="145" spans="1:27" x14ac:dyDescent="0.35">
      <c r="A145" t="s">
        <v>243</v>
      </c>
      <c r="B145" s="1">
        <v>44923</v>
      </c>
      <c r="C145">
        <v>2022</v>
      </c>
      <c r="D145">
        <v>12</v>
      </c>
      <c r="E145" t="s">
        <v>123</v>
      </c>
      <c r="F145" t="s">
        <v>26</v>
      </c>
      <c r="G145" t="s">
        <v>105</v>
      </c>
      <c r="H145" t="s">
        <v>120</v>
      </c>
      <c r="I145" t="s">
        <v>98</v>
      </c>
      <c r="J145" t="s">
        <v>30</v>
      </c>
      <c r="K145" t="s">
        <v>31</v>
      </c>
      <c r="L145" t="s">
        <v>45</v>
      </c>
      <c r="M145" t="s">
        <v>33</v>
      </c>
      <c r="N145">
        <v>0</v>
      </c>
      <c r="O145" t="s">
        <v>75</v>
      </c>
      <c r="P145" t="s">
        <v>47</v>
      </c>
      <c r="Q145" t="s">
        <v>81</v>
      </c>
      <c r="R145" t="s">
        <v>37</v>
      </c>
      <c r="S145" t="s">
        <v>38</v>
      </c>
      <c r="T145">
        <v>8</v>
      </c>
      <c r="U145">
        <v>58714</v>
      </c>
      <c r="V145">
        <v>0</v>
      </c>
      <c r="W145">
        <v>0</v>
      </c>
      <c r="X145">
        <v>0</v>
      </c>
      <c r="Y145">
        <f>IF(tbl_Incidents[[#This Row],[Lost_Time_Days]]&gt;0, 1, 0)</f>
        <v>0</v>
      </c>
      <c r="Z145" s="1">
        <f>DATE(tbl_Incidents[[#This Row],[Year]], tbl_Incidents[[#This Row],[Month]], 1)</f>
        <v>44896</v>
      </c>
      <c r="AA145" t="str">
        <f t="shared" si="2"/>
        <v>Katherine Processing Site|2022-12</v>
      </c>
    </row>
    <row r="146" spans="1:27" x14ac:dyDescent="0.35">
      <c r="A146" t="s">
        <v>244</v>
      </c>
      <c r="B146" s="1">
        <v>45431</v>
      </c>
      <c r="C146">
        <v>2024</v>
      </c>
      <c r="D146">
        <v>5</v>
      </c>
      <c r="E146" t="s">
        <v>109</v>
      </c>
      <c r="F146" t="s">
        <v>41</v>
      </c>
      <c r="G146" t="s">
        <v>105</v>
      </c>
      <c r="H146" t="s">
        <v>68</v>
      </c>
      <c r="I146" t="s">
        <v>98</v>
      </c>
      <c r="J146" t="s">
        <v>30</v>
      </c>
      <c r="K146" t="s">
        <v>31</v>
      </c>
      <c r="L146" t="s">
        <v>93</v>
      </c>
      <c r="M146" t="s">
        <v>33</v>
      </c>
      <c r="N146">
        <v>0</v>
      </c>
      <c r="O146" t="s">
        <v>34</v>
      </c>
      <c r="P146" t="s">
        <v>91</v>
      </c>
      <c r="Q146" t="s">
        <v>81</v>
      </c>
      <c r="R146" t="s">
        <v>49</v>
      </c>
      <c r="S146" t="s">
        <v>50</v>
      </c>
      <c r="T146">
        <v>8</v>
      </c>
      <c r="U146">
        <v>119310</v>
      </c>
      <c r="V146">
        <v>0</v>
      </c>
      <c r="W146">
        <v>0</v>
      </c>
      <c r="X146">
        <v>0</v>
      </c>
      <c r="Y146">
        <f>IF(tbl_Incidents[[#This Row],[Lost_Time_Days]]&gt;0, 1, 0)</f>
        <v>0</v>
      </c>
      <c r="Z146" s="1">
        <f>DATE(tbl_Incidents[[#This Row],[Year]], tbl_Incidents[[#This Row],[Month]], 1)</f>
        <v>45413</v>
      </c>
      <c r="AA146" t="str">
        <f t="shared" si="2"/>
        <v>Katherine Processing Site|2024-05</v>
      </c>
    </row>
    <row r="147" spans="1:27" x14ac:dyDescent="0.35">
      <c r="A147" t="s">
        <v>245</v>
      </c>
      <c r="B147" s="1">
        <v>44719</v>
      </c>
      <c r="C147">
        <v>2022</v>
      </c>
      <c r="D147">
        <v>6</v>
      </c>
      <c r="E147" t="s">
        <v>72</v>
      </c>
      <c r="F147" t="s">
        <v>41</v>
      </c>
      <c r="G147" t="s">
        <v>105</v>
      </c>
      <c r="H147" t="s">
        <v>120</v>
      </c>
      <c r="I147" t="s">
        <v>79</v>
      </c>
      <c r="J147" t="s">
        <v>30</v>
      </c>
      <c r="K147" t="s">
        <v>31</v>
      </c>
      <c r="L147" t="s">
        <v>80</v>
      </c>
      <c r="M147" t="s">
        <v>56</v>
      </c>
      <c r="N147">
        <v>0</v>
      </c>
      <c r="O147" t="s">
        <v>70</v>
      </c>
      <c r="P147" t="s">
        <v>35</v>
      </c>
      <c r="Q147" t="s">
        <v>76</v>
      </c>
      <c r="R147" t="s">
        <v>57</v>
      </c>
      <c r="S147" t="s">
        <v>50</v>
      </c>
      <c r="T147">
        <v>10</v>
      </c>
      <c r="U147">
        <v>92171</v>
      </c>
      <c r="V147">
        <v>0</v>
      </c>
      <c r="W147">
        <v>0</v>
      </c>
      <c r="X147">
        <v>0</v>
      </c>
      <c r="Y147">
        <f>IF(tbl_Incidents[[#This Row],[Lost_Time_Days]]&gt;0, 1, 0)</f>
        <v>0</v>
      </c>
      <c r="Z147" s="1">
        <f>DATE(tbl_Incidents[[#This Row],[Year]], tbl_Incidents[[#This Row],[Month]], 1)</f>
        <v>44713</v>
      </c>
      <c r="AA147" t="str">
        <f t="shared" si="2"/>
        <v>Katherine Processing Site|2022-06</v>
      </c>
    </row>
    <row r="148" spans="1:27" x14ac:dyDescent="0.35">
      <c r="A148" t="s">
        <v>246</v>
      </c>
      <c r="B148" s="1">
        <v>44883</v>
      </c>
      <c r="C148">
        <v>2022</v>
      </c>
      <c r="D148">
        <v>11</v>
      </c>
      <c r="E148" t="s">
        <v>107</v>
      </c>
      <c r="F148" t="s">
        <v>26</v>
      </c>
      <c r="G148" t="s">
        <v>59</v>
      </c>
      <c r="H148" t="s">
        <v>73</v>
      </c>
      <c r="I148" t="s">
        <v>79</v>
      </c>
      <c r="J148" t="s">
        <v>30</v>
      </c>
      <c r="K148" t="s">
        <v>31</v>
      </c>
      <c r="L148" t="s">
        <v>74</v>
      </c>
      <c r="M148" t="s">
        <v>33</v>
      </c>
      <c r="N148">
        <v>0</v>
      </c>
      <c r="O148" t="s">
        <v>75</v>
      </c>
      <c r="P148" t="s">
        <v>35</v>
      </c>
      <c r="Q148" t="s">
        <v>64</v>
      </c>
      <c r="R148" t="s">
        <v>37</v>
      </c>
      <c r="S148" t="s">
        <v>88</v>
      </c>
      <c r="T148">
        <v>12</v>
      </c>
      <c r="U148">
        <v>55435</v>
      </c>
      <c r="V148">
        <v>0</v>
      </c>
      <c r="W148">
        <v>0</v>
      </c>
      <c r="X148">
        <v>0</v>
      </c>
      <c r="Y148">
        <f>IF(tbl_Incidents[[#This Row],[Lost_Time_Days]]&gt;0, 1, 0)</f>
        <v>0</v>
      </c>
      <c r="Z148" s="1">
        <f>DATE(tbl_Incidents[[#This Row],[Year]], tbl_Incidents[[#This Row],[Month]], 1)</f>
        <v>44866</v>
      </c>
      <c r="AA148" t="str">
        <f t="shared" si="2"/>
        <v>Pilbara Crusher Plant|2022-11</v>
      </c>
    </row>
    <row r="149" spans="1:27" x14ac:dyDescent="0.35">
      <c r="A149" t="s">
        <v>247</v>
      </c>
      <c r="B149" s="1">
        <v>44830</v>
      </c>
      <c r="C149">
        <v>2022</v>
      </c>
      <c r="D149">
        <v>9</v>
      </c>
      <c r="E149" t="s">
        <v>97</v>
      </c>
      <c r="F149" t="s">
        <v>67</v>
      </c>
      <c r="G149" t="s">
        <v>59</v>
      </c>
      <c r="H149" t="s">
        <v>28</v>
      </c>
      <c r="I149" t="s">
        <v>54</v>
      </c>
      <c r="J149" t="s">
        <v>30</v>
      </c>
      <c r="K149" t="s">
        <v>31</v>
      </c>
      <c r="L149" t="s">
        <v>83</v>
      </c>
      <c r="M149" t="s">
        <v>33</v>
      </c>
      <c r="N149">
        <v>0</v>
      </c>
      <c r="O149" t="s">
        <v>90</v>
      </c>
      <c r="P149" t="s">
        <v>91</v>
      </c>
      <c r="Q149" t="s">
        <v>64</v>
      </c>
      <c r="R149" t="s">
        <v>57</v>
      </c>
      <c r="S149" t="s">
        <v>38</v>
      </c>
      <c r="T149">
        <v>9</v>
      </c>
      <c r="U149">
        <v>49706</v>
      </c>
      <c r="V149">
        <v>0</v>
      </c>
      <c r="W149">
        <v>0</v>
      </c>
      <c r="X149">
        <v>0</v>
      </c>
      <c r="Y149">
        <f>IF(tbl_Incidents[[#This Row],[Lost_Time_Days]]&gt;0, 1, 0)</f>
        <v>0</v>
      </c>
      <c r="Z149" s="1">
        <f>DATE(tbl_Incidents[[#This Row],[Year]], tbl_Incidents[[#This Row],[Month]], 1)</f>
        <v>44805</v>
      </c>
      <c r="AA149" t="str">
        <f t="shared" si="2"/>
        <v>Pilbara Crusher Plant|2022-09</v>
      </c>
    </row>
    <row r="150" spans="1:27" x14ac:dyDescent="0.35">
      <c r="A150" t="s">
        <v>248</v>
      </c>
      <c r="B150" s="1">
        <v>45024</v>
      </c>
      <c r="C150">
        <v>2023</v>
      </c>
      <c r="D150">
        <v>4</v>
      </c>
      <c r="E150" t="s">
        <v>40</v>
      </c>
      <c r="F150" t="s">
        <v>41</v>
      </c>
      <c r="G150" t="s">
        <v>105</v>
      </c>
      <c r="H150" t="s">
        <v>68</v>
      </c>
      <c r="I150" t="s">
        <v>44</v>
      </c>
      <c r="J150" t="s">
        <v>30</v>
      </c>
      <c r="K150" t="s">
        <v>117</v>
      </c>
      <c r="L150" t="s">
        <v>80</v>
      </c>
      <c r="M150" t="s">
        <v>46</v>
      </c>
      <c r="N150">
        <v>0</v>
      </c>
      <c r="O150" t="s">
        <v>34</v>
      </c>
      <c r="P150" t="s">
        <v>91</v>
      </c>
      <c r="Q150" t="s">
        <v>81</v>
      </c>
      <c r="R150" t="s">
        <v>57</v>
      </c>
      <c r="S150" t="s">
        <v>38</v>
      </c>
      <c r="T150">
        <v>10</v>
      </c>
      <c r="U150">
        <v>106683</v>
      </c>
      <c r="V150">
        <v>0</v>
      </c>
      <c r="W150">
        <v>0</v>
      </c>
      <c r="X150">
        <v>0</v>
      </c>
      <c r="Y150">
        <f>IF(tbl_Incidents[[#This Row],[Lost_Time_Days]]&gt;0, 1, 0)</f>
        <v>0</v>
      </c>
      <c r="Z150" s="1">
        <f>DATE(tbl_Incidents[[#This Row],[Year]], tbl_Incidents[[#This Row],[Month]], 1)</f>
        <v>45017</v>
      </c>
      <c r="AA150" t="str">
        <f t="shared" si="2"/>
        <v>Katherine Processing Site|2023-04</v>
      </c>
    </row>
    <row r="151" spans="1:27" x14ac:dyDescent="0.35">
      <c r="A151" t="s">
        <v>249</v>
      </c>
      <c r="B151" s="1">
        <v>44791</v>
      </c>
      <c r="C151">
        <v>2022</v>
      </c>
      <c r="D151">
        <v>8</v>
      </c>
      <c r="E151" t="s">
        <v>66</v>
      </c>
      <c r="F151" t="s">
        <v>67</v>
      </c>
      <c r="G151" t="s">
        <v>42</v>
      </c>
      <c r="H151" t="s">
        <v>73</v>
      </c>
      <c r="I151" t="s">
        <v>29</v>
      </c>
      <c r="J151" t="s">
        <v>30</v>
      </c>
      <c r="K151" t="s">
        <v>31</v>
      </c>
      <c r="L151" t="s">
        <v>100</v>
      </c>
      <c r="M151" t="s">
        <v>56</v>
      </c>
      <c r="N151">
        <v>0</v>
      </c>
      <c r="O151" t="s">
        <v>34</v>
      </c>
      <c r="P151" t="s">
        <v>91</v>
      </c>
      <c r="Q151" t="s">
        <v>76</v>
      </c>
      <c r="R151" t="s">
        <v>37</v>
      </c>
      <c r="S151" t="s">
        <v>38</v>
      </c>
      <c r="T151">
        <v>11</v>
      </c>
      <c r="U151">
        <v>112305</v>
      </c>
      <c r="V151">
        <v>0</v>
      </c>
      <c r="W151">
        <v>0</v>
      </c>
      <c r="X151">
        <v>0</v>
      </c>
      <c r="Y151">
        <f>IF(tbl_Incidents[[#This Row],[Lost_Time_Days]]&gt;0, 1, 0)</f>
        <v>0</v>
      </c>
      <c r="Z151" s="1">
        <f>DATE(tbl_Incidents[[#This Row],[Year]], tbl_Incidents[[#This Row],[Month]], 1)</f>
        <v>44774</v>
      </c>
      <c r="AA151" t="str">
        <f t="shared" si="2"/>
        <v>Darwin Port Facility|2022-08</v>
      </c>
    </row>
    <row r="152" spans="1:27" x14ac:dyDescent="0.35">
      <c r="A152" t="s">
        <v>250</v>
      </c>
      <c r="B152" s="1">
        <v>44650</v>
      </c>
      <c r="C152">
        <v>2022</v>
      </c>
      <c r="D152">
        <v>3</v>
      </c>
      <c r="E152" t="s">
        <v>125</v>
      </c>
      <c r="F152" t="s">
        <v>53</v>
      </c>
      <c r="G152" t="s">
        <v>59</v>
      </c>
      <c r="H152" t="s">
        <v>86</v>
      </c>
      <c r="I152" t="s">
        <v>29</v>
      </c>
      <c r="J152" t="s">
        <v>30</v>
      </c>
      <c r="K152" t="s">
        <v>31</v>
      </c>
      <c r="L152" t="s">
        <v>83</v>
      </c>
      <c r="M152" t="s">
        <v>46</v>
      </c>
      <c r="N152">
        <v>0</v>
      </c>
      <c r="O152" t="s">
        <v>63</v>
      </c>
      <c r="P152" t="s">
        <v>47</v>
      </c>
      <c r="Q152" t="s">
        <v>76</v>
      </c>
      <c r="R152" t="s">
        <v>57</v>
      </c>
      <c r="S152" t="s">
        <v>38</v>
      </c>
      <c r="T152">
        <v>10</v>
      </c>
      <c r="U152">
        <v>49720</v>
      </c>
      <c r="V152">
        <v>0</v>
      </c>
      <c r="W152">
        <v>0</v>
      </c>
      <c r="X152">
        <v>0</v>
      </c>
      <c r="Y152">
        <f>IF(tbl_Incidents[[#This Row],[Lost_Time_Days]]&gt;0, 1, 0)</f>
        <v>0</v>
      </c>
      <c r="Z152" s="1">
        <f>DATE(tbl_Incidents[[#This Row],[Year]], tbl_Incidents[[#This Row],[Month]], 1)</f>
        <v>44621</v>
      </c>
      <c r="AA152" t="str">
        <f t="shared" si="2"/>
        <v>Pilbara Crusher Plant|2022-03</v>
      </c>
    </row>
    <row r="153" spans="1:27" x14ac:dyDescent="0.35">
      <c r="A153" t="s">
        <v>251</v>
      </c>
      <c r="B153" s="1">
        <v>45258</v>
      </c>
      <c r="C153">
        <v>2023</v>
      </c>
      <c r="D153">
        <v>11</v>
      </c>
      <c r="E153" t="s">
        <v>107</v>
      </c>
      <c r="F153" t="s">
        <v>26</v>
      </c>
      <c r="G153" t="s">
        <v>59</v>
      </c>
      <c r="H153" t="s">
        <v>73</v>
      </c>
      <c r="I153" t="s">
        <v>98</v>
      </c>
      <c r="J153" t="s">
        <v>30</v>
      </c>
      <c r="K153" t="s">
        <v>31</v>
      </c>
      <c r="L153" t="s">
        <v>103</v>
      </c>
      <c r="M153" t="s">
        <v>46</v>
      </c>
      <c r="N153">
        <v>0</v>
      </c>
      <c r="O153" t="s">
        <v>90</v>
      </c>
      <c r="P153" t="s">
        <v>35</v>
      </c>
      <c r="Q153" t="s">
        <v>48</v>
      </c>
      <c r="R153" t="s">
        <v>49</v>
      </c>
      <c r="S153" t="s">
        <v>50</v>
      </c>
      <c r="T153">
        <v>8</v>
      </c>
      <c r="U153">
        <v>56274</v>
      </c>
      <c r="V153">
        <v>0</v>
      </c>
      <c r="W153">
        <v>0</v>
      </c>
      <c r="X153">
        <v>0</v>
      </c>
      <c r="Y153">
        <f>IF(tbl_Incidents[[#This Row],[Lost_Time_Days]]&gt;0, 1, 0)</f>
        <v>0</v>
      </c>
      <c r="Z153" s="1">
        <f>DATE(tbl_Incidents[[#This Row],[Year]], tbl_Incidents[[#This Row],[Month]], 1)</f>
        <v>45231</v>
      </c>
      <c r="AA153" t="str">
        <f t="shared" si="2"/>
        <v>Pilbara Crusher Plant|2023-11</v>
      </c>
    </row>
    <row r="154" spans="1:27" x14ac:dyDescent="0.35">
      <c r="A154" t="s">
        <v>252</v>
      </c>
      <c r="B154" s="1">
        <v>45092</v>
      </c>
      <c r="C154">
        <v>2023</v>
      </c>
      <c r="D154">
        <v>6</v>
      </c>
      <c r="E154" t="s">
        <v>72</v>
      </c>
      <c r="F154" t="s">
        <v>41</v>
      </c>
      <c r="G154" t="s">
        <v>59</v>
      </c>
      <c r="H154" t="s">
        <v>73</v>
      </c>
      <c r="I154" t="s">
        <v>44</v>
      </c>
      <c r="J154" t="s">
        <v>30</v>
      </c>
      <c r="K154" t="s">
        <v>112</v>
      </c>
      <c r="L154" t="s">
        <v>80</v>
      </c>
      <c r="M154" t="s">
        <v>46</v>
      </c>
      <c r="N154">
        <v>0</v>
      </c>
      <c r="O154" t="s">
        <v>34</v>
      </c>
      <c r="P154" t="s">
        <v>91</v>
      </c>
      <c r="Q154" t="s">
        <v>76</v>
      </c>
      <c r="R154" t="s">
        <v>57</v>
      </c>
      <c r="S154" t="s">
        <v>38</v>
      </c>
      <c r="T154">
        <v>10</v>
      </c>
      <c r="U154">
        <v>65729</v>
      </c>
      <c r="V154">
        <v>0</v>
      </c>
      <c r="W154">
        <v>0</v>
      </c>
      <c r="X154">
        <v>0</v>
      </c>
      <c r="Y154">
        <f>IF(tbl_Incidents[[#This Row],[Lost_Time_Days]]&gt;0, 1, 0)</f>
        <v>0</v>
      </c>
      <c r="Z154" s="1">
        <f>DATE(tbl_Incidents[[#This Row],[Year]], tbl_Incidents[[#This Row],[Month]], 1)</f>
        <v>45078</v>
      </c>
      <c r="AA154" t="str">
        <f t="shared" si="2"/>
        <v>Pilbara Crusher Plant|2023-06</v>
      </c>
    </row>
    <row r="155" spans="1:27" x14ac:dyDescent="0.35">
      <c r="A155" t="s">
        <v>253</v>
      </c>
      <c r="B155" s="1">
        <v>45212</v>
      </c>
      <c r="C155">
        <v>2023</v>
      </c>
      <c r="D155">
        <v>10</v>
      </c>
      <c r="E155" t="s">
        <v>25</v>
      </c>
      <c r="F155" t="s">
        <v>26</v>
      </c>
      <c r="G155" t="s">
        <v>59</v>
      </c>
      <c r="H155" t="s">
        <v>73</v>
      </c>
      <c r="I155" t="s">
        <v>98</v>
      </c>
      <c r="J155" t="s">
        <v>30</v>
      </c>
      <c r="K155" t="s">
        <v>31</v>
      </c>
      <c r="L155" t="s">
        <v>32</v>
      </c>
      <c r="M155" t="s">
        <v>46</v>
      </c>
      <c r="N155">
        <v>0</v>
      </c>
      <c r="O155" t="s">
        <v>90</v>
      </c>
      <c r="P155" t="s">
        <v>35</v>
      </c>
      <c r="Q155" t="s">
        <v>76</v>
      </c>
      <c r="R155" t="s">
        <v>57</v>
      </c>
      <c r="S155" t="s">
        <v>50</v>
      </c>
      <c r="T155">
        <v>12</v>
      </c>
      <c r="U155">
        <v>60210</v>
      </c>
      <c r="V155">
        <v>0</v>
      </c>
      <c r="W155">
        <v>0</v>
      </c>
      <c r="X155">
        <v>0</v>
      </c>
      <c r="Y155">
        <f>IF(tbl_Incidents[[#This Row],[Lost_Time_Days]]&gt;0, 1, 0)</f>
        <v>0</v>
      </c>
      <c r="Z155" s="1">
        <f>DATE(tbl_Incidents[[#This Row],[Year]], tbl_Incidents[[#This Row],[Month]], 1)</f>
        <v>45200</v>
      </c>
      <c r="AA155" t="str">
        <f t="shared" si="2"/>
        <v>Pilbara Crusher Plant|2023-10</v>
      </c>
    </row>
    <row r="156" spans="1:27" x14ac:dyDescent="0.35">
      <c r="A156" t="s">
        <v>254</v>
      </c>
      <c r="B156" s="1">
        <v>44737</v>
      </c>
      <c r="C156">
        <v>2022</v>
      </c>
      <c r="D156">
        <v>6</v>
      </c>
      <c r="E156" t="s">
        <v>72</v>
      </c>
      <c r="F156" t="s">
        <v>41</v>
      </c>
      <c r="G156" t="s">
        <v>78</v>
      </c>
      <c r="H156" t="s">
        <v>28</v>
      </c>
      <c r="I156" t="s">
        <v>79</v>
      </c>
      <c r="J156" t="s">
        <v>30</v>
      </c>
      <c r="K156" t="s">
        <v>31</v>
      </c>
      <c r="L156" t="s">
        <v>95</v>
      </c>
      <c r="M156" t="s">
        <v>56</v>
      </c>
      <c r="N156">
        <v>0</v>
      </c>
      <c r="O156" t="s">
        <v>70</v>
      </c>
      <c r="P156" t="s">
        <v>35</v>
      </c>
      <c r="Q156" t="s">
        <v>36</v>
      </c>
      <c r="R156" t="s">
        <v>57</v>
      </c>
      <c r="S156" t="s">
        <v>38</v>
      </c>
      <c r="T156">
        <v>12</v>
      </c>
      <c r="U156">
        <v>74688</v>
      </c>
      <c r="V156">
        <v>0</v>
      </c>
      <c r="W156">
        <v>0</v>
      </c>
      <c r="X156">
        <v>0</v>
      </c>
      <c r="Y156">
        <f>IF(tbl_Incidents[[#This Row],[Lost_Time_Days]]&gt;0, 1, 0)</f>
        <v>0</v>
      </c>
      <c r="Z156" s="1">
        <f>DATE(tbl_Incidents[[#This Row],[Year]], tbl_Incidents[[#This Row],[Month]], 1)</f>
        <v>44713</v>
      </c>
      <c r="AA156" t="str">
        <f t="shared" si="2"/>
        <v>Broome Logistics Hub|2022-06</v>
      </c>
    </row>
    <row r="157" spans="1:27" x14ac:dyDescent="0.35">
      <c r="A157" t="s">
        <v>255</v>
      </c>
      <c r="B157" s="1">
        <v>45228</v>
      </c>
      <c r="C157">
        <v>2023</v>
      </c>
      <c r="D157">
        <v>10</v>
      </c>
      <c r="E157" t="s">
        <v>25</v>
      </c>
      <c r="F157" t="s">
        <v>26</v>
      </c>
      <c r="G157" t="s">
        <v>78</v>
      </c>
      <c r="H157" t="s">
        <v>86</v>
      </c>
      <c r="I157" t="s">
        <v>44</v>
      </c>
      <c r="J157" t="s">
        <v>30</v>
      </c>
      <c r="K157" t="s">
        <v>31</v>
      </c>
      <c r="L157" t="s">
        <v>45</v>
      </c>
      <c r="M157" t="s">
        <v>56</v>
      </c>
      <c r="N157">
        <v>0</v>
      </c>
      <c r="O157" t="s">
        <v>75</v>
      </c>
      <c r="P157" t="s">
        <v>91</v>
      </c>
      <c r="Q157" t="s">
        <v>81</v>
      </c>
      <c r="R157" t="s">
        <v>49</v>
      </c>
      <c r="S157" t="s">
        <v>38</v>
      </c>
      <c r="T157">
        <v>11</v>
      </c>
      <c r="U157">
        <v>78985</v>
      </c>
      <c r="V157">
        <v>0</v>
      </c>
      <c r="W157">
        <v>0</v>
      </c>
      <c r="X157">
        <v>0</v>
      </c>
      <c r="Y157">
        <f>IF(tbl_Incidents[[#This Row],[Lost_Time_Days]]&gt;0, 1, 0)</f>
        <v>0</v>
      </c>
      <c r="Z157" s="1">
        <f>DATE(tbl_Incidents[[#This Row],[Year]], tbl_Incidents[[#This Row],[Month]], 1)</f>
        <v>45200</v>
      </c>
      <c r="AA157" t="str">
        <f t="shared" si="2"/>
        <v>Broome Logistics Hub|2023-10</v>
      </c>
    </row>
    <row r="158" spans="1:27" x14ac:dyDescent="0.35">
      <c r="A158" t="s">
        <v>256</v>
      </c>
      <c r="B158" s="1">
        <v>45026</v>
      </c>
      <c r="C158">
        <v>2023</v>
      </c>
      <c r="D158">
        <v>4</v>
      </c>
      <c r="E158" t="s">
        <v>40</v>
      </c>
      <c r="F158" t="s">
        <v>41</v>
      </c>
      <c r="G158" t="s">
        <v>27</v>
      </c>
      <c r="H158" t="s">
        <v>73</v>
      </c>
      <c r="I158" t="s">
        <v>29</v>
      </c>
      <c r="J158" t="s">
        <v>30</v>
      </c>
      <c r="K158" t="s">
        <v>31</v>
      </c>
      <c r="L158" t="s">
        <v>83</v>
      </c>
      <c r="M158" t="s">
        <v>56</v>
      </c>
      <c r="N158">
        <v>0</v>
      </c>
      <c r="O158" t="s">
        <v>63</v>
      </c>
      <c r="P158" t="s">
        <v>47</v>
      </c>
      <c r="Q158" t="s">
        <v>48</v>
      </c>
      <c r="R158" t="s">
        <v>57</v>
      </c>
      <c r="S158" t="s">
        <v>50</v>
      </c>
      <c r="T158">
        <v>9</v>
      </c>
      <c r="U158">
        <v>80970</v>
      </c>
      <c r="V158">
        <v>0</v>
      </c>
      <c r="W158">
        <v>0</v>
      </c>
      <c r="X158">
        <v>1</v>
      </c>
      <c r="Y158">
        <f>IF(tbl_Incidents[[#This Row],[Lost_Time_Days]]&gt;0, 1, 0)</f>
        <v>0</v>
      </c>
      <c r="Z158" s="1">
        <f>DATE(tbl_Incidents[[#This Row],[Year]], tbl_Incidents[[#This Row],[Month]], 1)</f>
        <v>45017</v>
      </c>
      <c r="AA158" t="str">
        <f t="shared" si="2"/>
        <v>Thunderbird Mine|2023-04</v>
      </c>
    </row>
    <row r="159" spans="1:27" x14ac:dyDescent="0.35">
      <c r="A159" t="s">
        <v>257</v>
      </c>
      <c r="B159" s="1">
        <v>44888</v>
      </c>
      <c r="C159">
        <v>2022</v>
      </c>
      <c r="D159">
        <v>11</v>
      </c>
      <c r="E159" t="s">
        <v>107</v>
      </c>
      <c r="F159" t="s">
        <v>26</v>
      </c>
      <c r="G159" t="s">
        <v>59</v>
      </c>
      <c r="H159" t="s">
        <v>86</v>
      </c>
      <c r="I159" t="s">
        <v>79</v>
      </c>
      <c r="J159" t="s">
        <v>30</v>
      </c>
      <c r="K159" t="s">
        <v>31</v>
      </c>
      <c r="L159" t="s">
        <v>93</v>
      </c>
      <c r="M159" t="s">
        <v>56</v>
      </c>
      <c r="N159">
        <v>0</v>
      </c>
      <c r="O159" t="s">
        <v>90</v>
      </c>
      <c r="P159" t="s">
        <v>35</v>
      </c>
      <c r="Q159" t="s">
        <v>81</v>
      </c>
      <c r="R159" t="s">
        <v>57</v>
      </c>
      <c r="S159" t="s">
        <v>88</v>
      </c>
      <c r="T159">
        <v>8</v>
      </c>
      <c r="U159">
        <v>75058</v>
      </c>
      <c r="V159">
        <v>0</v>
      </c>
      <c r="W159">
        <v>0</v>
      </c>
      <c r="X159">
        <v>0</v>
      </c>
      <c r="Y159">
        <f>IF(tbl_Incidents[[#This Row],[Lost_Time_Days]]&gt;0, 1, 0)</f>
        <v>0</v>
      </c>
      <c r="Z159" s="1">
        <f>DATE(tbl_Incidents[[#This Row],[Year]], tbl_Incidents[[#This Row],[Month]], 1)</f>
        <v>44866</v>
      </c>
      <c r="AA159" t="str">
        <f t="shared" si="2"/>
        <v>Pilbara Crusher Plant|2022-11</v>
      </c>
    </row>
    <row r="160" spans="1:27" x14ac:dyDescent="0.35">
      <c r="A160" t="s">
        <v>258</v>
      </c>
      <c r="B160" s="1">
        <v>45022</v>
      </c>
      <c r="C160">
        <v>2023</v>
      </c>
      <c r="D160">
        <v>4</v>
      </c>
      <c r="E160" t="s">
        <v>40</v>
      </c>
      <c r="F160" t="s">
        <v>41</v>
      </c>
      <c r="G160" t="s">
        <v>42</v>
      </c>
      <c r="H160" t="s">
        <v>68</v>
      </c>
      <c r="I160" t="s">
        <v>44</v>
      </c>
      <c r="J160" t="s">
        <v>30</v>
      </c>
      <c r="K160" t="s">
        <v>147</v>
      </c>
      <c r="L160" t="s">
        <v>32</v>
      </c>
      <c r="M160" t="s">
        <v>56</v>
      </c>
      <c r="N160">
        <v>0</v>
      </c>
      <c r="O160" t="s">
        <v>70</v>
      </c>
      <c r="P160" t="s">
        <v>47</v>
      </c>
      <c r="Q160" t="s">
        <v>48</v>
      </c>
      <c r="R160" t="s">
        <v>57</v>
      </c>
      <c r="S160" t="s">
        <v>38</v>
      </c>
      <c r="T160">
        <v>12</v>
      </c>
      <c r="U160">
        <v>80988</v>
      </c>
      <c r="V160">
        <v>0</v>
      </c>
      <c r="W160">
        <v>0</v>
      </c>
      <c r="X160">
        <v>0</v>
      </c>
      <c r="Y160">
        <f>IF(tbl_Incidents[[#This Row],[Lost_Time_Days]]&gt;0, 1, 0)</f>
        <v>0</v>
      </c>
      <c r="Z160" s="1">
        <f>DATE(tbl_Incidents[[#This Row],[Year]], tbl_Incidents[[#This Row],[Month]], 1)</f>
        <v>45017</v>
      </c>
      <c r="AA160" t="str">
        <f t="shared" si="2"/>
        <v>Darwin Port Facility|2023-04</v>
      </c>
    </row>
    <row r="161" spans="1:27" x14ac:dyDescent="0.35">
      <c r="A161" t="s">
        <v>259</v>
      </c>
      <c r="B161" s="1">
        <v>44756</v>
      </c>
      <c r="C161">
        <v>2022</v>
      </c>
      <c r="D161">
        <v>7</v>
      </c>
      <c r="E161" t="s">
        <v>85</v>
      </c>
      <c r="F161" t="s">
        <v>67</v>
      </c>
      <c r="G161" t="s">
        <v>42</v>
      </c>
      <c r="H161" t="s">
        <v>86</v>
      </c>
      <c r="I161" t="s">
        <v>54</v>
      </c>
      <c r="J161" t="s">
        <v>30</v>
      </c>
      <c r="K161" t="s">
        <v>31</v>
      </c>
      <c r="L161" t="s">
        <v>103</v>
      </c>
      <c r="M161" t="s">
        <v>56</v>
      </c>
      <c r="N161">
        <v>0</v>
      </c>
      <c r="O161" t="s">
        <v>63</v>
      </c>
      <c r="P161" t="s">
        <v>91</v>
      </c>
      <c r="Q161" t="s">
        <v>64</v>
      </c>
      <c r="R161" t="s">
        <v>57</v>
      </c>
      <c r="S161" t="s">
        <v>38</v>
      </c>
      <c r="T161">
        <v>11</v>
      </c>
      <c r="U161">
        <v>106249</v>
      </c>
      <c r="V161">
        <v>0</v>
      </c>
      <c r="W161">
        <v>0</v>
      </c>
      <c r="X161">
        <v>0</v>
      </c>
      <c r="Y161">
        <f>IF(tbl_Incidents[[#This Row],[Lost_Time_Days]]&gt;0, 1, 0)</f>
        <v>0</v>
      </c>
      <c r="Z161" s="1">
        <f>DATE(tbl_Incidents[[#This Row],[Year]], tbl_Incidents[[#This Row],[Month]], 1)</f>
        <v>44743</v>
      </c>
      <c r="AA161" t="str">
        <f t="shared" si="2"/>
        <v>Darwin Port Facility|2022-07</v>
      </c>
    </row>
    <row r="162" spans="1:27" x14ac:dyDescent="0.35">
      <c r="A162" t="s">
        <v>260</v>
      </c>
      <c r="B162" s="1">
        <v>45030</v>
      </c>
      <c r="C162">
        <v>2023</v>
      </c>
      <c r="D162">
        <v>4</v>
      </c>
      <c r="E162" t="s">
        <v>40</v>
      </c>
      <c r="F162" t="s">
        <v>41</v>
      </c>
      <c r="G162" t="s">
        <v>42</v>
      </c>
      <c r="H162" t="s">
        <v>43</v>
      </c>
      <c r="I162" t="s">
        <v>44</v>
      </c>
      <c r="J162" t="s">
        <v>30</v>
      </c>
      <c r="K162" t="s">
        <v>117</v>
      </c>
      <c r="L162" t="s">
        <v>45</v>
      </c>
      <c r="M162" t="s">
        <v>33</v>
      </c>
      <c r="N162">
        <v>0</v>
      </c>
      <c r="O162" t="s">
        <v>34</v>
      </c>
      <c r="P162" t="s">
        <v>47</v>
      </c>
      <c r="Q162" t="s">
        <v>76</v>
      </c>
      <c r="R162" t="s">
        <v>49</v>
      </c>
      <c r="S162" t="s">
        <v>38</v>
      </c>
      <c r="T162">
        <v>12</v>
      </c>
      <c r="U162">
        <v>41071</v>
      </c>
      <c r="V162">
        <v>0</v>
      </c>
      <c r="W162">
        <v>0</v>
      </c>
      <c r="X162">
        <v>0</v>
      </c>
      <c r="Y162">
        <f>IF(tbl_Incidents[[#This Row],[Lost_Time_Days]]&gt;0, 1, 0)</f>
        <v>0</v>
      </c>
      <c r="Z162" s="1">
        <f>DATE(tbl_Incidents[[#This Row],[Year]], tbl_Incidents[[#This Row],[Month]], 1)</f>
        <v>45017</v>
      </c>
      <c r="AA162" t="str">
        <f t="shared" si="2"/>
        <v>Darwin Port Facility|2023-04</v>
      </c>
    </row>
    <row r="163" spans="1:27" x14ac:dyDescent="0.35">
      <c r="A163" t="s">
        <v>261</v>
      </c>
      <c r="B163" s="1">
        <v>45429</v>
      </c>
      <c r="C163">
        <v>2024</v>
      </c>
      <c r="D163">
        <v>5</v>
      </c>
      <c r="E163" t="s">
        <v>109</v>
      </c>
      <c r="F163" t="s">
        <v>41</v>
      </c>
      <c r="G163" t="s">
        <v>105</v>
      </c>
      <c r="H163" t="s">
        <v>73</v>
      </c>
      <c r="I163" t="s">
        <v>29</v>
      </c>
      <c r="J163" t="s">
        <v>30</v>
      </c>
      <c r="K163" t="s">
        <v>31</v>
      </c>
      <c r="L163" t="s">
        <v>32</v>
      </c>
      <c r="M163" t="s">
        <v>46</v>
      </c>
      <c r="N163">
        <v>0</v>
      </c>
      <c r="O163" t="s">
        <v>34</v>
      </c>
      <c r="P163" t="s">
        <v>47</v>
      </c>
      <c r="Q163" t="s">
        <v>81</v>
      </c>
      <c r="R163" t="s">
        <v>57</v>
      </c>
      <c r="S163" t="s">
        <v>88</v>
      </c>
      <c r="T163">
        <v>8</v>
      </c>
      <c r="U163">
        <v>114747</v>
      </c>
      <c r="V163">
        <v>0</v>
      </c>
      <c r="W163">
        <v>0</v>
      </c>
      <c r="X163">
        <v>0</v>
      </c>
      <c r="Y163">
        <f>IF(tbl_Incidents[[#This Row],[Lost_Time_Days]]&gt;0, 1, 0)</f>
        <v>0</v>
      </c>
      <c r="Z163" s="1">
        <f>DATE(tbl_Incidents[[#This Row],[Year]], tbl_Incidents[[#This Row],[Month]], 1)</f>
        <v>45413</v>
      </c>
      <c r="AA163" t="str">
        <f t="shared" si="2"/>
        <v>Katherine Processing Site|2024-05</v>
      </c>
    </row>
    <row r="164" spans="1:27" x14ac:dyDescent="0.35">
      <c r="A164" t="s">
        <v>262</v>
      </c>
      <c r="B164" s="1">
        <v>44933</v>
      </c>
      <c r="C164">
        <v>2023</v>
      </c>
      <c r="D164">
        <v>1</v>
      </c>
      <c r="E164" t="s">
        <v>129</v>
      </c>
      <c r="F164" t="s">
        <v>53</v>
      </c>
      <c r="G164" t="s">
        <v>59</v>
      </c>
      <c r="H164" t="s">
        <v>68</v>
      </c>
      <c r="I164" t="s">
        <v>98</v>
      </c>
      <c r="J164" t="s">
        <v>30</v>
      </c>
      <c r="K164" t="s">
        <v>31</v>
      </c>
      <c r="L164" t="s">
        <v>55</v>
      </c>
      <c r="M164" t="s">
        <v>46</v>
      </c>
      <c r="N164">
        <v>0</v>
      </c>
      <c r="O164" t="s">
        <v>63</v>
      </c>
      <c r="P164" t="s">
        <v>91</v>
      </c>
      <c r="Q164" t="s">
        <v>76</v>
      </c>
      <c r="R164" t="s">
        <v>37</v>
      </c>
      <c r="S164" t="s">
        <v>38</v>
      </c>
      <c r="T164">
        <v>9</v>
      </c>
      <c r="U164">
        <v>52672</v>
      </c>
      <c r="V164">
        <v>0</v>
      </c>
      <c r="W164">
        <v>0</v>
      </c>
      <c r="X164">
        <v>0</v>
      </c>
      <c r="Y164">
        <f>IF(tbl_Incidents[[#This Row],[Lost_Time_Days]]&gt;0, 1, 0)</f>
        <v>0</v>
      </c>
      <c r="Z164" s="1">
        <f>DATE(tbl_Incidents[[#This Row],[Year]], tbl_Incidents[[#This Row],[Month]], 1)</f>
        <v>44927</v>
      </c>
      <c r="AA164" t="str">
        <f t="shared" si="2"/>
        <v>Pilbara Crusher Plant|2023-01</v>
      </c>
    </row>
    <row r="165" spans="1:27" x14ac:dyDescent="0.35">
      <c r="A165" t="s">
        <v>263</v>
      </c>
      <c r="B165" s="1">
        <v>44965</v>
      </c>
      <c r="C165">
        <v>2023</v>
      </c>
      <c r="D165">
        <v>2</v>
      </c>
      <c r="E165" t="s">
        <v>52</v>
      </c>
      <c r="F165" t="s">
        <v>53</v>
      </c>
      <c r="G165" t="s">
        <v>59</v>
      </c>
      <c r="H165" t="s">
        <v>43</v>
      </c>
      <c r="I165" t="s">
        <v>60</v>
      </c>
      <c r="J165" t="s">
        <v>61</v>
      </c>
      <c r="K165" t="s">
        <v>117</v>
      </c>
      <c r="L165" t="s">
        <v>93</v>
      </c>
      <c r="M165" t="s">
        <v>33</v>
      </c>
      <c r="N165">
        <v>0</v>
      </c>
      <c r="O165" t="s">
        <v>90</v>
      </c>
      <c r="P165" t="s">
        <v>47</v>
      </c>
      <c r="Q165" t="s">
        <v>76</v>
      </c>
      <c r="R165" t="s">
        <v>57</v>
      </c>
      <c r="S165" t="s">
        <v>38</v>
      </c>
      <c r="T165">
        <v>8</v>
      </c>
      <c r="U165">
        <v>57961</v>
      </c>
      <c r="V165">
        <v>1</v>
      </c>
      <c r="W165">
        <v>0</v>
      </c>
      <c r="X165">
        <v>0</v>
      </c>
      <c r="Y165">
        <f>IF(tbl_Incidents[[#This Row],[Lost_Time_Days]]&gt;0, 1, 0)</f>
        <v>0</v>
      </c>
      <c r="Z165" s="1">
        <f>DATE(tbl_Incidents[[#This Row],[Year]], tbl_Incidents[[#This Row],[Month]], 1)</f>
        <v>44958</v>
      </c>
      <c r="AA165" t="str">
        <f t="shared" si="2"/>
        <v>Pilbara Crusher Plant|2023-02</v>
      </c>
    </row>
    <row r="166" spans="1:27" x14ac:dyDescent="0.35">
      <c r="A166" t="s">
        <v>264</v>
      </c>
      <c r="B166" s="1">
        <v>45292</v>
      </c>
      <c r="C166">
        <v>2024</v>
      </c>
      <c r="D166">
        <v>1</v>
      </c>
      <c r="E166" t="s">
        <v>129</v>
      </c>
      <c r="F166" t="s">
        <v>53</v>
      </c>
      <c r="G166" t="s">
        <v>105</v>
      </c>
      <c r="H166" t="s">
        <v>43</v>
      </c>
      <c r="I166" t="s">
        <v>60</v>
      </c>
      <c r="J166" t="s">
        <v>61</v>
      </c>
      <c r="K166" t="s">
        <v>31</v>
      </c>
      <c r="L166" t="s">
        <v>93</v>
      </c>
      <c r="M166" t="s">
        <v>46</v>
      </c>
      <c r="N166">
        <v>0</v>
      </c>
      <c r="O166" t="s">
        <v>90</v>
      </c>
      <c r="P166" t="s">
        <v>35</v>
      </c>
      <c r="Q166" t="s">
        <v>81</v>
      </c>
      <c r="R166" t="s">
        <v>37</v>
      </c>
      <c r="S166" t="s">
        <v>38</v>
      </c>
      <c r="T166">
        <v>9</v>
      </c>
      <c r="U166">
        <v>91505</v>
      </c>
      <c r="V166">
        <v>1</v>
      </c>
      <c r="W166">
        <v>0</v>
      </c>
      <c r="X166">
        <v>0</v>
      </c>
      <c r="Y166">
        <f>IF(tbl_Incidents[[#This Row],[Lost_Time_Days]]&gt;0, 1, 0)</f>
        <v>0</v>
      </c>
      <c r="Z166" s="1">
        <f>DATE(tbl_Incidents[[#This Row],[Year]], tbl_Incidents[[#This Row],[Month]], 1)</f>
        <v>45292</v>
      </c>
      <c r="AA166" t="str">
        <f t="shared" si="2"/>
        <v>Katherine Processing Site|2024-01</v>
      </c>
    </row>
    <row r="167" spans="1:27" x14ac:dyDescent="0.35">
      <c r="A167" t="s">
        <v>265</v>
      </c>
      <c r="B167" s="1">
        <v>45193</v>
      </c>
      <c r="C167">
        <v>2023</v>
      </c>
      <c r="D167">
        <v>9</v>
      </c>
      <c r="E167" t="s">
        <v>97</v>
      </c>
      <c r="F167" t="s">
        <v>67</v>
      </c>
      <c r="G167" t="s">
        <v>59</v>
      </c>
      <c r="H167" t="s">
        <v>43</v>
      </c>
      <c r="I167" t="s">
        <v>79</v>
      </c>
      <c r="J167" t="s">
        <v>30</v>
      </c>
      <c r="K167" t="s">
        <v>31</v>
      </c>
      <c r="L167" t="s">
        <v>80</v>
      </c>
      <c r="M167" t="s">
        <v>46</v>
      </c>
      <c r="N167">
        <v>0</v>
      </c>
      <c r="O167" t="s">
        <v>70</v>
      </c>
      <c r="P167" t="s">
        <v>47</v>
      </c>
      <c r="Q167" t="s">
        <v>76</v>
      </c>
      <c r="R167" t="s">
        <v>57</v>
      </c>
      <c r="S167" t="s">
        <v>88</v>
      </c>
      <c r="T167">
        <v>8</v>
      </c>
      <c r="U167">
        <v>88281</v>
      </c>
      <c r="V167">
        <v>0</v>
      </c>
      <c r="W167">
        <v>0</v>
      </c>
      <c r="X167">
        <v>0</v>
      </c>
      <c r="Y167">
        <f>IF(tbl_Incidents[[#This Row],[Lost_Time_Days]]&gt;0, 1, 0)</f>
        <v>0</v>
      </c>
      <c r="Z167" s="1">
        <f>DATE(tbl_Incidents[[#This Row],[Year]], tbl_Incidents[[#This Row],[Month]], 1)</f>
        <v>45170</v>
      </c>
      <c r="AA167" t="str">
        <f t="shared" si="2"/>
        <v>Pilbara Crusher Plant|2023-09</v>
      </c>
    </row>
    <row r="168" spans="1:27" x14ac:dyDescent="0.35">
      <c r="A168" t="s">
        <v>266</v>
      </c>
      <c r="B168" s="1">
        <v>44901</v>
      </c>
      <c r="C168">
        <v>2022</v>
      </c>
      <c r="D168">
        <v>12</v>
      </c>
      <c r="E168" t="s">
        <v>123</v>
      </c>
      <c r="F168" t="s">
        <v>26</v>
      </c>
      <c r="G168" t="s">
        <v>27</v>
      </c>
      <c r="H168" t="s">
        <v>86</v>
      </c>
      <c r="I168" t="s">
        <v>79</v>
      </c>
      <c r="J168" t="s">
        <v>30</v>
      </c>
      <c r="K168" t="s">
        <v>31</v>
      </c>
      <c r="L168" t="s">
        <v>95</v>
      </c>
      <c r="M168" t="s">
        <v>56</v>
      </c>
      <c r="N168">
        <v>0</v>
      </c>
      <c r="O168" t="s">
        <v>70</v>
      </c>
      <c r="P168" t="s">
        <v>35</v>
      </c>
      <c r="Q168" t="s">
        <v>76</v>
      </c>
      <c r="R168" t="s">
        <v>49</v>
      </c>
      <c r="S168" t="s">
        <v>38</v>
      </c>
      <c r="T168">
        <v>12</v>
      </c>
      <c r="U168">
        <v>115711</v>
      </c>
      <c r="V168">
        <v>0</v>
      </c>
      <c r="W168">
        <v>0</v>
      </c>
      <c r="X168">
        <v>0</v>
      </c>
      <c r="Y168">
        <f>IF(tbl_Incidents[[#This Row],[Lost_Time_Days]]&gt;0, 1, 0)</f>
        <v>0</v>
      </c>
      <c r="Z168" s="1">
        <f>DATE(tbl_Incidents[[#This Row],[Year]], tbl_Incidents[[#This Row],[Month]], 1)</f>
        <v>44896</v>
      </c>
      <c r="AA168" t="str">
        <f t="shared" si="2"/>
        <v>Thunderbird Mine|2022-12</v>
      </c>
    </row>
    <row r="169" spans="1:27" x14ac:dyDescent="0.35">
      <c r="A169" t="s">
        <v>267</v>
      </c>
      <c r="B169" s="1">
        <v>44795</v>
      </c>
      <c r="C169">
        <v>2022</v>
      </c>
      <c r="D169">
        <v>8</v>
      </c>
      <c r="E169" t="s">
        <v>66</v>
      </c>
      <c r="F169" t="s">
        <v>67</v>
      </c>
      <c r="G169" t="s">
        <v>27</v>
      </c>
      <c r="H169" t="s">
        <v>43</v>
      </c>
      <c r="I169" t="s">
        <v>79</v>
      </c>
      <c r="J169" t="s">
        <v>30</v>
      </c>
      <c r="K169" t="s">
        <v>31</v>
      </c>
      <c r="L169" t="s">
        <v>83</v>
      </c>
      <c r="M169" t="s">
        <v>33</v>
      </c>
      <c r="N169">
        <v>0</v>
      </c>
      <c r="O169" t="s">
        <v>90</v>
      </c>
      <c r="P169" t="s">
        <v>47</v>
      </c>
      <c r="Q169" t="s">
        <v>48</v>
      </c>
      <c r="R169" t="s">
        <v>57</v>
      </c>
      <c r="S169" t="s">
        <v>38</v>
      </c>
      <c r="T169">
        <v>12</v>
      </c>
      <c r="U169">
        <v>54404</v>
      </c>
      <c r="V169">
        <v>0</v>
      </c>
      <c r="W169">
        <v>0</v>
      </c>
      <c r="X169">
        <v>0</v>
      </c>
      <c r="Y169">
        <f>IF(tbl_Incidents[[#This Row],[Lost_Time_Days]]&gt;0, 1, 0)</f>
        <v>0</v>
      </c>
      <c r="Z169" s="1">
        <f>DATE(tbl_Incidents[[#This Row],[Year]], tbl_Incidents[[#This Row],[Month]], 1)</f>
        <v>44774</v>
      </c>
      <c r="AA169" t="str">
        <f t="shared" si="2"/>
        <v>Thunderbird Mine|2022-08</v>
      </c>
    </row>
    <row r="170" spans="1:27" x14ac:dyDescent="0.35">
      <c r="A170" t="s">
        <v>268</v>
      </c>
      <c r="B170" s="1">
        <v>44757</v>
      </c>
      <c r="C170">
        <v>2022</v>
      </c>
      <c r="D170">
        <v>7</v>
      </c>
      <c r="E170" t="s">
        <v>85</v>
      </c>
      <c r="F170" t="s">
        <v>67</v>
      </c>
      <c r="G170" t="s">
        <v>105</v>
      </c>
      <c r="H170" t="s">
        <v>120</v>
      </c>
      <c r="I170" t="s">
        <v>29</v>
      </c>
      <c r="J170" t="s">
        <v>30</v>
      </c>
      <c r="K170" t="s">
        <v>31</v>
      </c>
      <c r="L170" t="s">
        <v>55</v>
      </c>
      <c r="M170" t="s">
        <v>33</v>
      </c>
      <c r="N170">
        <v>0</v>
      </c>
      <c r="O170" t="s">
        <v>63</v>
      </c>
      <c r="P170" t="s">
        <v>35</v>
      </c>
      <c r="Q170" t="s">
        <v>64</v>
      </c>
      <c r="R170" t="s">
        <v>37</v>
      </c>
      <c r="S170" t="s">
        <v>50</v>
      </c>
      <c r="T170">
        <v>11</v>
      </c>
      <c r="U170">
        <v>48163</v>
      </c>
      <c r="V170">
        <v>0</v>
      </c>
      <c r="W170">
        <v>0</v>
      </c>
      <c r="X170">
        <v>1</v>
      </c>
      <c r="Y170">
        <f>IF(tbl_Incidents[[#This Row],[Lost_Time_Days]]&gt;0, 1, 0)</f>
        <v>0</v>
      </c>
      <c r="Z170" s="1">
        <f>DATE(tbl_Incidents[[#This Row],[Year]], tbl_Incidents[[#This Row],[Month]], 1)</f>
        <v>44743</v>
      </c>
      <c r="AA170" t="str">
        <f t="shared" si="2"/>
        <v>Katherine Processing Site|2022-07</v>
      </c>
    </row>
    <row r="171" spans="1:27" x14ac:dyDescent="0.35">
      <c r="A171" t="s">
        <v>269</v>
      </c>
      <c r="B171" s="1">
        <v>45093</v>
      </c>
      <c r="C171">
        <v>2023</v>
      </c>
      <c r="D171">
        <v>6</v>
      </c>
      <c r="E171" t="s">
        <v>72</v>
      </c>
      <c r="F171" t="s">
        <v>41</v>
      </c>
      <c r="G171" t="s">
        <v>78</v>
      </c>
      <c r="H171" t="s">
        <v>120</v>
      </c>
      <c r="I171" t="s">
        <v>44</v>
      </c>
      <c r="J171" t="s">
        <v>30</v>
      </c>
      <c r="K171" t="s">
        <v>31</v>
      </c>
      <c r="L171" t="s">
        <v>103</v>
      </c>
      <c r="M171" t="s">
        <v>56</v>
      </c>
      <c r="N171">
        <v>0</v>
      </c>
      <c r="O171" t="s">
        <v>34</v>
      </c>
      <c r="P171" t="s">
        <v>35</v>
      </c>
      <c r="Q171" t="s">
        <v>64</v>
      </c>
      <c r="R171" t="s">
        <v>37</v>
      </c>
      <c r="S171" t="s">
        <v>38</v>
      </c>
      <c r="T171">
        <v>12</v>
      </c>
      <c r="U171">
        <v>86437</v>
      </c>
      <c r="V171">
        <v>0</v>
      </c>
      <c r="W171">
        <v>0</v>
      </c>
      <c r="X171">
        <v>0</v>
      </c>
      <c r="Y171">
        <f>IF(tbl_Incidents[[#This Row],[Lost_Time_Days]]&gt;0, 1, 0)</f>
        <v>0</v>
      </c>
      <c r="Z171" s="1">
        <f>DATE(tbl_Incidents[[#This Row],[Year]], tbl_Incidents[[#This Row],[Month]], 1)</f>
        <v>45078</v>
      </c>
      <c r="AA171" t="str">
        <f t="shared" si="2"/>
        <v>Broome Logistics Hub|2023-06</v>
      </c>
    </row>
    <row r="172" spans="1:27" x14ac:dyDescent="0.35">
      <c r="A172" t="s">
        <v>270</v>
      </c>
      <c r="B172" s="1">
        <v>45254</v>
      </c>
      <c r="C172">
        <v>2023</v>
      </c>
      <c r="D172">
        <v>11</v>
      </c>
      <c r="E172" t="s">
        <v>107</v>
      </c>
      <c r="F172" t="s">
        <v>26</v>
      </c>
      <c r="G172" t="s">
        <v>59</v>
      </c>
      <c r="H172" t="s">
        <v>43</v>
      </c>
      <c r="I172" t="s">
        <v>54</v>
      </c>
      <c r="J172" t="s">
        <v>30</v>
      </c>
      <c r="K172" t="s">
        <v>31</v>
      </c>
      <c r="L172" t="s">
        <v>83</v>
      </c>
      <c r="M172" t="s">
        <v>33</v>
      </c>
      <c r="N172">
        <v>0</v>
      </c>
      <c r="O172" t="s">
        <v>34</v>
      </c>
      <c r="P172" t="s">
        <v>91</v>
      </c>
      <c r="Q172" t="s">
        <v>76</v>
      </c>
      <c r="R172" t="s">
        <v>57</v>
      </c>
      <c r="S172" t="s">
        <v>38</v>
      </c>
      <c r="T172">
        <v>10</v>
      </c>
      <c r="U172">
        <v>77880</v>
      </c>
      <c r="V172">
        <v>0</v>
      </c>
      <c r="W172">
        <v>0</v>
      </c>
      <c r="X172">
        <v>0</v>
      </c>
      <c r="Y172">
        <f>IF(tbl_Incidents[[#This Row],[Lost_Time_Days]]&gt;0, 1, 0)</f>
        <v>0</v>
      </c>
      <c r="Z172" s="1">
        <f>DATE(tbl_Incidents[[#This Row],[Year]], tbl_Incidents[[#This Row],[Month]], 1)</f>
        <v>45231</v>
      </c>
      <c r="AA172" t="str">
        <f t="shared" si="2"/>
        <v>Pilbara Crusher Plant|2023-11</v>
      </c>
    </row>
    <row r="173" spans="1:27" x14ac:dyDescent="0.35">
      <c r="A173" t="s">
        <v>271</v>
      </c>
      <c r="B173" s="1">
        <v>45283</v>
      </c>
      <c r="C173">
        <v>2023</v>
      </c>
      <c r="D173">
        <v>12</v>
      </c>
      <c r="E173" t="s">
        <v>123</v>
      </c>
      <c r="F173" t="s">
        <v>26</v>
      </c>
      <c r="G173" t="s">
        <v>105</v>
      </c>
      <c r="H173" t="s">
        <v>120</v>
      </c>
      <c r="I173" t="s">
        <v>44</v>
      </c>
      <c r="J173" t="s">
        <v>30</v>
      </c>
      <c r="K173" t="s">
        <v>31</v>
      </c>
      <c r="L173" t="s">
        <v>80</v>
      </c>
      <c r="M173" t="s">
        <v>46</v>
      </c>
      <c r="N173">
        <v>0</v>
      </c>
      <c r="O173" t="s">
        <v>70</v>
      </c>
      <c r="P173" t="s">
        <v>91</v>
      </c>
      <c r="Q173" t="s">
        <v>81</v>
      </c>
      <c r="R173" t="s">
        <v>57</v>
      </c>
      <c r="S173" t="s">
        <v>50</v>
      </c>
      <c r="T173">
        <v>12</v>
      </c>
      <c r="U173">
        <v>89767</v>
      </c>
      <c r="V173">
        <v>0</v>
      </c>
      <c r="W173">
        <v>0</v>
      </c>
      <c r="X173">
        <v>0</v>
      </c>
      <c r="Y173">
        <f>IF(tbl_Incidents[[#This Row],[Lost_Time_Days]]&gt;0, 1, 0)</f>
        <v>0</v>
      </c>
      <c r="Z173" s="1">
        <f>DATE(tbl_Incidents[[#This Row],[Year]], tbl_Incidents[[#This Row],[Month]], 1)</f>
        <v>45261</v>
      </c>
      <c r="AA173" t="str">
        <f t="shared" si="2"/>
        <v>Katherine Processing Site|2023-12</v>
      </c>
    </row>
    <row r="174" spans="1:27" x14ac:dyDescent="0.35">
      <c r="A174" t="s">
        <v>272</v>
      </c>
      <c r="B174" s="1">
        <v>44966</v>
      </c>
      <c r="C174">
        <v>2023</v>
      </c>
      <c r="D174">
        <v>2</v>
      </c>
      <c r="E174" t="s">
        <v>52</v>
      </c>
      <c r="F174" t="s">
        <v>53</v>
      </c>
      <c r="G174" t="s">
        <v>59</v>
      </c>
      <c r="H174" t="s">
        <v>73</v>
      </c>
      <c r="I174" t="s">
        <v>54</v>
      </c>
      <c r="J174" t="s">
        <v>30</v>
      </c>
      <c r="K174" t="s">
        <v>31</v>
      </c>
      <c r="L174" t="s">
        <v>32</v>
      </c>
      <c r="M174" t="s">
        <v>33</v>
      </c>
      <c r="N174">
        <v>0</v>
      </c>
      <c r="O174" t="s">
        <v>34</v>
      </c>
      <c r="P174" t="s">
        <v>35</v>
      </c>
      <c r="Q174" t="s">
        <v>81</v>
      </c>
      <c r="R174" t="s">
        <v>49</v>
      </c>
      <c r="S174" t="s">
        <v>38</v>
      </c>
      <c r="T174">
        <v>11</v>
      </c>
      <c r="U174">
        <v>68047</v>
      </c>
      <c r="V174">
        <v>0</v>
      </c>
      <c r="W174">
        <v>0</v>
      </c>
      <c r="X174">
        <v>0</v>
      </c>
      <c r="Y174">
        <f>IF(tbl_Incidents[[#This Row],[Lost_Time_Days]]&gt;0, 1, 0)</f>
        <v>0</v>
      </c>
      <c r="Z174" s="1">
        <f>DATE(tbl_Incidents[[#This Row],[Year]], tbl_Incidents[[#This Row],[Month]], 1)</f>
        <v>44958</v>
      </c>
      <c r="AA174" t="str">
        <f t="shared" si="2"/>
        <v>Pilbara Crusher Plant|2023-02</v>
      </c>
    </row>
    <row r="175" spans="1:27" x14ac:dyDescent="0.35">
      <c r="A175" t="s">
        <v>273</v>
      </c>
      <c r="B175" s="1">
        <v>44768</v>
      </c>
      <c r="C175">
        <v>2022</v>
      </c>
      <c r="D175">
        <v>7</v>
      </c>
      <c r="E175" t="s">
        <v>85</v>
      </c>
      <c r="F175" t="s">
        <v>67</v>
      </c>
      <c r="G175" t="s">
        <v>78</v>
      </c>
      <c r="H175" t="s">
        <v>120</v>
      </c>
      <c r="I175" t="s">
        <v>54</v>
      </c>
      <c r="J175" t="s">
        <v>30</v>
      </c>
      <c r="K175" t="s">
        <v>31</v>
      </c>
      <c r="L175" t="s">
        <v>103</v>
      </c>
      <c r="M175" t="s">
        <v>46</v>
      </c>
      <c r="N175">
        <v>0</v>
      </c>
      <c r="O175" t="s">
        <v>34</v>
      </c>
      <c r="P175" t="s">
        <v>35</v>
      </c>
      <c r="Q175" t="s">
        <v>36</v>
      </c>
      <c r="R175" t="s">
        <v>37</v>
      </c>
      <c r="S175" t="s">
        <v>50</v>
      </c>
      <c r="T175">
        <v>9</v>
      </c>
      <c r="U175">
        <v>71779</v>
      </c>
      <c r="V175">
        <v>0</v>
      </c>
      <c r="W175">
        <v>0</v>
      </c>
      <c r="X175">
        <v>0</v>
      </c>
      <c r="Y175">
        <f>IF(tbl_Incidents[[#This Row],[Lost_Time_Days]]&gt;0, 1, 0)</f>
        <v>0</v>
      </c>
      <c r="Z175" s="1">
        <f>DATE(tbl_Incidents[[#This Row],[Year]], tbl_Incidents[[#This Row],[Month]], 1)</f>
        <v>44743</v>
      </c>
      <c r="AA175" t="str">
        <f t="shared" si="2"/>
        <v>Broome Logistics Hub|2022-07</v>
      </c>
    </row>
    <row r="176" spans="1:27" x14ac:dyDescent="0.35">
      <c r="A176" t="s">
        <v>274</v>
      </c>
      <c r="B176" s="1">
        <v>44613</v>
      </c>
      <c r="C176">
        <v>2022</v>
      </c>
      <c r="D176">
        <v>2</v>
      </c>
      <c r="E176" t="s">
        <v>52</v>
      </c>
      <c r="F176" t="s">
        <v>53</v>
      </c>
      <c r="G176" t="s">
        <v>78</v>
      </c>
      <c r="H176" t="s">
        <v>73</v>
      </c>
      <c r="I176" t="s">
        <v>79</v>
      </c>
      <c r="J176" t="s">
        <v>30</v>
      </c>
      <c r="K176" t="s">
        <v>31</v>
      </c>
      <c r="L176" t="s">
        <v>100</v>
      </c>
      <c r="M176" t="s">
        <v>33</v>
      </c>
      <c r="N176">
        <v>0</v>
      </c>
      <c r="O176" t="s">
        <v>34</v>
      </c>
      <c r="P176" t="s">
        <v>47</v>
      </c>
      <c r="Q176" t="s">
        <v>81</v>
      </c>
      <c r="R176" t="s">
        <v>49</v>
      </c>
      <c r="S176" t="s">
        <v>38</v>
      </c>
      <c r="T176">
        <v>9</v>
      </c>
      <c r="U176">
        <v>40679</v>
      </c>
      <c r="V176">
        <v>0</v>
      </c>
      <c r="W176">
        <v>0</v>
      </c>
      <c r="X176">
        <v>0</v>
      </c>
      <c r="Y176">
        <f>IF(tbl_Incidents[[#This Row],[Lost_Time_Days]]&gt;0, 1, 0)</f>
        <v>0</v>
      </c>
      <c r="Z176" s="1">
        <f>DATE(tbl_Incidents[[#This Row],[Year]], tbl_Incidents[[#This Row],[Month]], 1)</f>
        <v>44593</v>
      </c>
      <c r="AA176" t="str">
        <f t="shared" si="2"/>
        <v>Broome Logistics Hub|2022-02</v>
      </c>
    </row>
    <row r="177" spans="1:27" x14ac:dyDescent="0.35">
      <c r="A177" t="s">
        <v>275</v>
      </c>
      <c r="B177" s="1">
        <v>45125</v>
      </c>
      <c r="C177">
        <v>2023</v>
      </c>
      <c r="D177">
        <v>7</v>
      </c>
      <c r="E177" t="s">
        <v>85</v>
      </c>
      <c r="F177" t="s">
        <v>67</v>
      </c>
      <c r="G177" t="s">
        <v>105</v>
      </c>
      <c r="H177" t="s">
        <v>28</v>
      </c>
      <c r="I177" t="s">
        <v>44</v>
      </c>
      <c r="J177" t="s">
        <v>30</v>
      </c>
      <c r="K177" t="s">
        <v>31</v>
      </c>
      <c r="L177" t="s">
        <v>83</v>
      </c>
      <c r="M177" t="s">
        <v>46</v>
      </c>
      <c r="N177">
        <v>0</v>
      </c>
      <c r="O177" t="s">
        <v>34</v>
      </c>
      <c r="P177" t="s">
        <v>91</v>
      </c>
      <c r="Q177" t="s">
        <v>81</v>
      </c>
      <c r="R177" t="s">
        <v>57</v>
      </c>
      <c r="S177" t="s">
        <v>38</v>
      </c>
      <c r="T177">
        <v>8</v>
      </c>
      <c r="U177">
        <v>115252</v>
      </c>
      <c r="V177">
        <v>0</v>
      </c>
      <c r="W177">
        <v>0</v>
      </c>
      <c r="X177">
        <v>0</v>
      </c>
      <c r="Y177">
        <f>IF(tbl_Incidents[[#This Row],[Lost_Time_Days]]&gt;0, 1, 0)</f>
        <v>0</v>
      </c>
      <c r="Z177" s="1">
        <f>DATE(tbl_Incidents[[#This Row],[Year]], tbl_Incidents[[#This Row],[Month]], 1)</f>
        <v>45108</v>
      </c>
      <c r="AA177" t="str">
        <f t="shared" si="2"/>
        <v>Katherine Processing Site|2023-07</v>
      </c>
    </row>
    <row r="178" spans="1:27" x14ac:dyDescent="0.35">
      <c r="A178" t="s">
        <v>276</v>
      </c>
      <c r="B178" s="1">
        <v>44799</v>
      </c>
      <c r="C178">
        <v>2022</v>
      </c>
      <c r="D178">
        <v>8</v>
      </c>
      <c r="E178" t="s">
        <v>66</v>
      </c>
      <c r="F178" t="s">
        <v>67</v>
      </c>
      <c r="G178" t="s">
        <v>27</v>
      </c>
      <c r="H178" t="s">
        <v>73</v>
      </c>
      <c r="I178" t="s">
        <v>98</v>
      </c>
      <c r="J178" t="s">
        <v>30</v>
      </c>
      <c r="K178" t="s">
        <v>31</v>
      </c>
      <c r="L178" t="s">
        <v>55</v>
      </c>
      <c r="M178" t="s">
        <v>33</v>
      </c>
      <c r="N178">
        <v>0</v>
      </c>
      <c r="O178" t="s">
        <v>34</v>
      </c>
      <c r="P178" t="s">
        <v>47</v>
      </c>
      <c r="Q178" t="s">
        <v>64</v>
      </c>
      <c r="R178" t="s">
        <v>57</v>
      </c>
      <c r="S178" t="s">
        <v>38</v>
      </c>
      <c r="T178">
        <v>8</v>
      </c>
      <c r="U178">
        <v>41214</v>
      </c>
      <c r="V178">
        <v>0</v>
      </c>
      <c r="W178">
        <v>0</v>
      </c>
      <c r="X178">
        <v>0</v>
      </c>
      <c r="Y178">
        <f>IF(tbl_Incidents[[#This Row],[Lost_Time_Days]]&gt;0, 1, 0)</f>
        <v>0</v>
      </c>
      <c r="Z178" s="1">
        <f>DATE(tbl_Incidents[[#This Row],[Year]], tbl_Incidents[[#This Row],[Month]], 1)</f>
        <v>44774</v>
      </c>
      <c r="AA178" t="str">
        <f t="shared" si="2"/>
        <v>Thunderbird Mine|2022-08</v>
      </c>
    </row>
    <row r="179" spans="1:27" x14ac:dyDescent="0.35">
      <c r="A179" t="s">
        <v>277</v>
      </c>
      <c r="B179" s="1">
        <v>44867</v>
      </c>
      <c r="C179">
        <v>2022</v>
      </c>
      <c r="D179">
        <v>11</v>
      </c>
      <c r="E179" t="s">
        <v>107</v>
      </c>
      <c r="F179" t="s">
        <v>26</v>
      </c>
      <c r="G179" t="s">
        <v>78</v>
      </c>
      <c r="H179" t="s">
        <v>68</v>
      </c>
      <c r="I179" t="s">
        <v>98</v>
      </c>
      <c r="J179" t="s">
        <v>30</v>
      </c>
      <c r="K179" t="s">
        <v>31</v>
      </c>
      <c r="L179" t="s">
        <v>80</v>
      </c>
      <c r="M179" t="s">
        <v>56</v>
      </c>
      <c r="N179">
        <v>0</v>
      </c>
      <c r="O179" t="s">
        <v>63</v>
      </c>
      <c r="P179" t="s">
        <v>47</v>
      </c>
      <c r="Q179" t="s">
        <v>48</v>
      </c>
      <c r="R179" t="s">
        <v>37</v>
      </c>
      <c r="S179" t="s">
        <v>88</v>
      </c>
      <c r="T179">
        <v>10</v>
      </c>
      <c r="U179">
        <v>65272</v>
      </c>
      <c r="V179">
        <v>0</v>
      </c>
      <c r="W179">
        <v>0</v>
      </c>
      <c r="X179">
        <v>0</v>
      </c>
      <c r="Y179">
        <f>IF(tbl_Incidents[[#This Row],[Lost_Time_Days]]&gt;0, 1, 0)</f>
        <v>0</v>
      </c>
      <c r="Z179" s="1">
        <f>DATE(tbl_Incidents[[#This Row],[Year]], tbl_Incidents[[#This Row],[Month]], 1)</f>
        <v>44866</v>
      </c>
      <c r="AA179" t="str">
        <f t="shared" si="2"/>
        <v>Broome Logistics Hub|2022-11</v>
      </c>
    </row>
    <row r="180" spans="1:27" x14ac:dyDescent="0.35">
      <c r="A180" t="s">
        <v>278</v>
      </c>
      <c r="B180" s="1">
        <v>45390</v>
      </c>
      <c r="C180">
        <v>2024</v>
      </c>
      <c r="D180">
        <v>4</v>
      </c>
      <c r="E180" t="s">
        <v>40</v>
      </c>
      <c r="F180" t="s">
        <v>41</v>
      </c>
      <c r="G180" t="s">
        <v>59</v>
      </c>
      <c r="H180" t="s">
        <v>73</v>
      </c>
      <c r="I180" t="s">
        <v>29</v>
      </c>
      <c r="J180" t="s">
        <v>30</v>
      </c>
      <c r="K180" t="s">
        <v>31</v>
      </c>
      <c r="L180" t="s">
        <v>83</v>
      </c>
      <c r="M180" t="s">
        <v>46</v>
      </c>
      <c r="N180">
        <v>0</v>
      </c>
      <c r="O180" t="s">
        <v>34</v>
      </c>
      <c r="P180" t="s">
        <v>35</v>
      </c>
      <c r="Q180" t="s">
        <v>36</v>
      </c>
      <c r="R180" t="s">
        <v>57</v>
      </c>
      <c r="S180" t="s">
        <v>38</v>
      </c>
      <c r="T180">
        <v>12</v>
      </c>
      <c r="U180">
        <v>65318</v>
      </c>
      <c r="V180">
        <v>0</v>
      </c>
      <c r="W180">
        <v>0</v>
      </c>
      <c r="X180">
        <v>0</v>
      </c>
      <c r="Y180">
        <f>IF(tbl_Incidents[[#This Row],[Lost_Time_Days]]&gt;0, 1, 0)</f>
        <v>0</v>
      </c>
      <c r="Z180" s="1">
        <f>DATE(tbl_Incidents[[#This Row],[Year]], tbl_Incidents[[#This Row],[Month]], 1)</f>
        <v>45383</v>
      </c>
      <c r="AA180" t="str">
        <f t="shared" si="2"/>
        <v>Pilbara Crusher Plant|2024-04</v>
      </c>
    </row>
    <row r="181" spans="1:27" x14ac:dyDescent="0.35">
      <c r="A181" t="s">
        <v>279</v>
      </c>
      <c r="B181" s="1">
        <v>45438</v>
      </c>
      <c r="C181">
        <v>2024</v>
      </c>
      <c r="D181">
        <v>5</v>
      </c>
      <c r="E181" t="s">
        <v>109</v>
      </c>
      <c r="F181" t="s">
        <v>41</v>
      </c>
      <c r="G181" t="s">
        <v>105</v>
      </c>
      <c r="H181" t="s">
        <v>86</v>
      </c>
      <c r="I181" t="s">
        <v>79</v>
      </c>
      <c r="J181" t="s">
        <v>30</v>
      </c>
      <c r="K181" t="s">
        <v>31</v>
      </c>
      <c r="L181" t="s">
        <v>103</v>
      </c>
      <c r="M181" t="s">
        <v>56</v>
      </c>
      <c r="N181">
        <v>0</v>
      </c>
      <c r="O181" t="s">
        <v>34</v>
      </c>
      <c r="P181" t="s">
        <v>47</v>
      </c>
      <c r="Q181" t="s">
        <v>36</v>
      </c>
      <c r="R181" t="s">
        <v>57</v>
      </c>
      <c r="S181" t="s">
        <v>38</v>
      </c>
      <c r="T181">
        <v>11</v>
      </c>
      <c r="U181">
        <v>82415</v>
      </c>
      <c r="V181">
        <v>0</v>
      </c>
      <c r="W181">
        <v>0</v>
      </c>
      <c r="X181">
        <v>0</v>
      </c>
      <c r="Y181">
        <f>IF(tbl_Incidents[[#This Row],[Lost_Time_Days]]&gt;0, 1, 0)</f>
        <v>0</v>
      </c>
      <c r="Z181" s="1">
        <f>DATE(tbl_Incidents[[#This Row],[Year]], tbl_Incidents[[#This Row],[Month]], 1)</f>
        <v>45413</v>
      </c>
      <c r="AA181" t="str">
        <f t="shared" si="2"/>
        <v>Katherine Processing Site|2024-05</v>
      </c>
    </row>
    <row r="182" spans="1:27" x14ac:dyDescent="0.35">
      <c r="A182" t="s">
        <v>280</v>
      </c>
      <c r="B182" s="1">
        <v>44816</v>
      </c>
      <c r="C182">
        <v>2022</v>
      </c>
      <c r="D182">
        <v>9</v>
      </c>
      <c r="E182" t="s">
        <v>97</v>
      </c>
      <c r="F182" t="s">
        <v>67</v>
      </c>
      <c r="G182" t="s">
        <v>59</v>
      </c>
      <c r="H182" t="s">
        <v>86</v>
      </c>
      <c r="I182" t="s">
        <v>29</v>
      </c>
      <c r="J182" t="s">
        <v>30</v>
      </c>
      <c r="K182" t="s">
        <v>31</v>
      </c>
      <c r="L182" t="s">
        <v>100</v>
      </c>
      <c r="M182" t="s">
        <v>56</v>
      </c>
      <c r="N182">
        <v>0</v>
      </c>
      <c r="O182" t="s">
        <v>70</v>
      </c>
      <c r="P182" t="s">
        <v>91</v>
      </c>
      <c r="Q182" t="s">
        <v>81</v>
      </c>
      <c r="R182" t="s">
        <v>57</v>
      </c>
      <c r="S182" t="s">
        <v>50</v>
      </c>
      <c r="T182">
        <v>12</v>
      </c>
      <c r="U182">
        <v>41498</v>
      </c>
      <c r="V182">
        <v>0</v>
      </c>
      <c r="W182">
        <v>0</v>
      </c>
      <c r="X182">
        <v>0</v>
      </c>
      <c r="Y182">
        <f>IF(tbl_Incidents[[#This Row],[Lost_Time_Days]]&gt;0, 1, 0)</f>
        <v>0</v>
      </c>
      <c r="Z182" s="1">
        <f>DATE(tbl_Incidents[[#This Row],[Year]], tbl_Incidents[[#This Row],[Month]], 1)</f>
        <v>44805</v>
      </c>
      <c r="AA182" t="str">
        <f t="shared" si="2"/>
        <v>Pilbara Crusher Plant|2022-09</v>
      </c>
    </row>
    <row r="183" spans="1:27" x14ac:dyDescent="0.35">
      <c r="A183" t="s">
        <v>281</v>
      </c>
      <c r="B183" s="1">
        <v>44930</v>
      </c>
      <c r="C183">
        <v>2023</v>
      </c>
      <c r="D183">
        <v>1</v>
      </c>
      <c r="E183" t="s">
        <v>129</v>
      </c>
      <c r="F183" t="s">
        <v>53</v>
      </c>
      <c r="G183" t="s">
        <v>42</v>
      </c>
      <c r="H183" t="s">
        <v>68</v>
      </c>
      <c r="I183" t="s">
        <v>79</v>
      </c>
      <c r="J183" t="s">
        <v>30</v>
      </c>
      <c r="K183" t="s">
        <v>31</v>
      </c>
      <c r="L183" t="s">
        <v>74</v>
      </c>
      <c r="M183" t="s">
        <v>56</v>
      </c>
      <c r="N183">
        <v>0</v>
      </c>
      <c r="O183" t="s">
        <v>34</v>
      </c>
      <c r="P183" t="s">
        <v>35</v>
      </c>
      <c r="Q183" t="s">
        <v>64</v>
      </c>
      <c r="R183" t="s">
        <v>37</v>
      </c>
      <c r="S183" t="s">
        <v>38</v>
      </c>
      <c r="T183">
        <v>8</v>
      </c>
      <c r="U183">
        <v>78671</v>
      </c>
      <c r="V183">
        <v>0</v>
      </c>
      <c r="W183">
        <v>0</v>
      </c>
      <c r="X183">
        <v>0</v>
      </c>
      <c r="Y183">
        <f>IF(tbl_Incidents[[#This Row],[Lost_Time_Days]]&gt;0, 1, 0)</f>
        <v>0</v>
      </c>
      <c r="Z183" s="1">
        <f>DATE(tbl_Incidents[[#This Row],[Year]], tbl_Incidents[[#This Row],[Month]], 1)</f>
        <v>44927</v>
      </c>
      <c r="AA183" t="str">
        <f t="shared" si="2"/>
        <v>Darwin Port Facility|2023-01</v>
      </c>
    </row>
    <row r="184" spans="1:27" x14ac:dyDescent="0.35">
      <c r="A184" t="s">
        <v>282</v>
      </c>
      <c r="B184" s="1">
        <v>44938</v>
      </c>
      <c r="C184">
        <v>2023</v>
      </c>
      <c r="D184">
        <v>1</v>
      </c>
      <c r="E184" t="s">
        <v>129</v>
      </c>
      <c r="F184" t="s">
        <v>53</v>
      </c>
      <c r="G184" t="s">
        <v>42</v>
      </c>
      <c r="H184" t="s">
        <v>73</v>
      </c>
      <c r="I184" t="s">
        <v>98</v>
      </c>
      <c r="J184" t="s">
        <v>30</v>
      </c>
      <c r="K184" t="s">
        <v>31</v>
      </c>
      <c r="L184" t="s">
        <v>93</v>
      </c>
      <c r="M184" t="s">
        <v>56</v>
      </c>
      <c r="N184">
        <v>0</v>
      </c>
      <c r="O184" t="s">
        <v>34</v>
      </c>
      <c r="P184" t="s">
        <v>47</v>
      </c>
      <c r="Q184" t="s">
        <v>76</v>
      </c>
      <c r="R184" t="s">
        <v>57</v>
      </c>
      <c r="S184" t="s">
        <v>88</v>
      </c>
      <c r="T184">
        <v>12</v>
      </c>
      <c r="U184">
        <v>101712</v>
      </c>
      <c r="V184">
        <v>0</v>
      </c>
      <c r="W184">
        <v>0</v>
      </c>
      <c r="X184">
        <v>0</v>
      </c>
      <c r="Y184">
        <f>IF(tbl_Incidents[[#This Row],[Lost_Time_Days]]&gt;0, 1, 0)</f>
        <v>0</v>
      </c>
      <c r="Z184" s="1">
        <f>DATE(tbl_Incidents[[#This Row],[Year]], tbl_Incidents[[#This Row],[Month]], 1)</f>
        <v>44927</v>
      </c>
      <c r="AA184" t="str">
        <f t="shared" si="2"/>
        <v>Darwin Port Facility|2023-01</v>
      </c>
    </row>
    <row r="185" spans="1:27" x14ac:dyDescent="0.35">
      <c r="A185" t="s">
        <v>283</v>
      </c>
      <c r="B185" s="1">
        <v>45337</v>
      </c>
      <c r="C185">
        <v>2024</v>
      </c>
      <c r="D185">
        <v>2</v>
      </c>
      <c r="E185" t="s">
        <v>52</v>
      </c>
      <c r="F185" t="s">
        <v>53</v>
      </c>
      <c r="G185" t="s">
        <v>42</v>
      </c>
      <c r="H185" t="s">
        <v>73</v>
      </c>
      <c r="I185" t="s">
        <v>98</v>
      </c>
      <c r="J185" t="s">
        <v>30</v>
      </c>
      <c r="K185" t="s">
        <v>31</v>
      </c>
      <c r="L185" t="s">
        <v>95</v>
      </c>
      <c r="M185" t="s">
        <v>33</v>
      </c>
      <c r="N185">
        <v>0</v>
      </c>
      <c r="O185" t="s">
        <v>90</v>
      </c>
      <c r="P185" t="s">
        <v>47</v>
      </c>
      <c r="Q185" t="s">
        <v>76</v>
      </c>
      <c r="R185" t="s">
        <v>57</v>
      </c>
      <c r="S185" t="s">
        <v>38</v>
      </c>
      <c r="T185">
        <v>12</v>
      </c>
      <c r="U185">
        <v>54707</v>
      </c>
      <c r="V185">
        <v>0</v>
      </c>
      <c r="W185">
        <v>0</v>
      </c>
      <c r="X185">
        <v>0</v>
      </c>
      <c r="Y185">
        <f>IF(tbl_Incidents[[#This Row],[Lost_Time_Days]]&gt;0, 1, 0)</f>
        <v>0</v>
      </c>
      <c r="Z185" s="1">
        <f>DATE(tbl_Incidents[[#This Row],[Year]], tbl_Incidents[[#This Row],[Month]], 1)</f>
        <v>45323</v>
      </c>
      <c r="AA185" t="str">
        <f t="shared" si="2"/>
        <v>Darwin Port Facility|2024-02</v>
      </c>
    </row>
    <row r="186" spans="1:27" x14ac:dyDescent="0.35">
      <c r="A186" t="s">
        <v>284</v>
      </c>
      <c r="B186" s="1">
        <v>44625</v>
      </c>
      <c r="C186">
        <v>2022</v>
      </c>
      <c r="D186">
        <v>3</v>
      </c>
      <c r="E186" t="s">
        <v>125</v>
      </c>
      <c r="F186" t="s">
        <v>53</v>
      </c>
      <c r="G186" t="s">
        <v>78</v>
      </c>
      <c r="H186" t="s">
        <v>43</v>
      </c>
      <c r="I186" t="s">
        <v>54</v>
      </c>
      <c r="J186" t="s">
        <v>30</v>
      </c>
      <c r="K186" t="s">
        <v>31</v>
      </c>
      <c r="L186" t="s">
        <v>100</v>
      </c>
      <c r="M186" t="s">
        <v>46</v>
      </c>
      <c r="N186">
        <v>0</v>
      </c>
      <c r="O186" t="s">
        <v>90</v>
      </c>
      <c r="P186" t="s">
        <v>35</v>
      </c>
      <c r="Q186" t="s">
        <v>48</v>
      </c>
      <c r="R186" t="s">
        <v>57</v>
      </c>
      <c r="S186" t="s">
        <v>50</v>
      </c>
      <c r="T186">
        <v>11</v>
      </c>
      <c r="U186">
        <v>55235</v>
      </c>
      <c r="V186">
        <v>0</v>
      </c>
      <c r="W186">
        <v>0</v>
      </c>
      <c r="X186">
        <v>0</v>
      </c>
      <c r="Y186">
        <f>IF(tbl_Incidents[[#This Row],[Lost_Time_Days]]&gt;0, 1, 0)</f>
        <v>0</v>
      </c>
      <c r="Z186" s="1">
        <f>DATE(tbl_Incidents[[#This Row],[Year]], tbl_Incidents[[#This Row],[Month]], 1)</f>
        <v>44621</v>
      </c>
      <c r="AA186" t="str">
        <f t="shared" si="2"/>
        <v>Broome Logistics Hub|2022-03</v>
      </c>
    </row>
    <row r="187" spans="1:27" x14ac:dyDescent="0.35">
      <c r="A187" t="s">
        <v>285</v>
      </c>
      <c r="B187" s="1">
        <v>45258</v>
      </c>
      <c r="C187">
        <v>2023</v>
      </c>
      <c r="D187">
        <v>11</v>
      </c>
      <c r="E187" t="s">
        <v>107</v>
      </c>
      <c r="F187" t="s">
        <v>26</v>
      </c>
      <c r="G187" t="s">
        <v>78</v>
      </c>
      <c r="H187" t="s">
        <v>86</v>
      </c>
      <c r="I187" t="s">
        <v>44</v>
      </c>
      <c r="J187" t="s">
        <v>30</v>
      </c>
      <c r="K187" t="s">
        <v>165</v>
      </c>
      <c r="L187" t="s">
        <v>103</v>
      </c>
      <c r="M187" t="s">
        <v>56</v>
      </c>
      <c r="N187">
        <v>0</v>
      </c>
      <c r="O187" t="s">
        <v>70</v>
      </c>
      <c r="P187" t="s">
        <v>35</v>
      </c>
      <c r="Q187" t="s">
        <v>64</v>
      </c>
      <c r="R187" t="s">
        <v>57</v>
      </c>
      <c r="S187" t="s">
        <v>50</v>
      </c>
      <c r="T187">
        <v>11</v>
      </c>
      <c r="U187">
        <v>99873</v>
      </c>
      <c r="V187">
        <v>0</v>
      </c>
      <c r="W187">
        <v>0</v>
      </c>
      <c r="X187">
        <v>0</v>
      </c>
      <c r="Y187">
        <f>IF(tbl_Incidents[[#This Row],[Lost_Time_Days]]&gt;0, 1, 0)</f>
        <v>0</v>
      </c>
      <c r="Z187" s="1">
        <f>DATE(tbl_Incidents[[#This Row],[Year]], tbl_Incidents[[#This Row],[Month]], 1)</f>
        <v>45231</v>
      </c>
      <c r="AA187" t="str">
        <f t="shared" si="2"/>
        <v>Broome Logistics Hub|2023-11</v>
      </c>
    </row>
    <row r="188" spans="1:27" x14ac:dyDescent="0.35">
      <c r="A188" t="s">
        <v>286</v>
      </c>
      <c r="B188" s="1">
        <v>45139</v>
      </c>
      <c r="C188">
        <v>2023</v>
      </c>
      <c r="D188">
        <v>8</v>
      </c>
      <c r="E188" t="s">
        <v>66</v>
      </c>
      <c r="F188" t="s">
        <v>67</v>
      </c>
      <c r="G188" t="s">
        <v>78</v>
      </c>
      <c r="H188" t="s">
        <v>86</v>
      </c>
      <c r="I188" t="s">
        <v>29</v>
      </c>
      <c r="J188" t="s">
        <v>30</v>
      </c>
      <c r="K188" t="s">
        <v>31</v>
      </c>
      <c r="L188" t="s">
        <v>32</v>
      </c>
      <c r="M188" t="s">
        <v>46</v>
      </c>
      <c r="N188">
        <v>0</v>
      </c>
      <c r="O188" t="s">
        <v>34</v>
      </c>
      <c r="P188" t="s">
        <v>47</v>
      </c>
      <c r="Q188" t="s">
        <v>81</v>
      </c>
      <c r="R188" t="s">
        <v>57</v>
      </c>
      <c r="S188" t="s">
        <v>38</v>
      </c>
      <c r="T188">
        <v>12</v>
      </c>
      <c r="U188">
        <v>49572</v>
      </c>
      <c r="V188">
        <v>0</v>
      </c>
      <c r="W188">
        <v>0</v>
      </c>
      <c r="X188">
        <v>0</v>
      </c>
      <c r="Y188">
        <f>IF(tbl_Incidents[[#This Row],[Lost_Time_Days]]&gt;0, 1, 0)</f>
        <v>0</v>
      </c>
      <c r="Z188" s="1">
        <f>DATE(tbl_Incidents[[#This Row],[Year]], tbl_Incidents[[#This Row],[Month]], 1)</f>
        <v>45139</v>
      </c>
      <c r="AA188" t="str">
        <f t="shared" si="2"/>
        <v>Broome Logistics Hub|2023-08</v>
      </c>
    </row>
    <row r="189" spans="1:27" x14ac:dyDescent="0.35">
      <c r="A189" t="s">
        <v>287</v>
      </c>
      <c r="B189" s="1">
        <v>44914</v>
      </c>
      <c r="C189">
        <v>2022</v>
      </c>
      <c r="D189">
        <v>12</v>
      </c>
      <c r="E189" t="s">
        <v>123</v>
      </c>
      <c r="F189" t="s">
        <v>26</v>
      </c>
      <c r="G189" t="s">
        <v>27</v>
      </c>
      <c r="H189" t="s">
        <v>43</v>
      </c>
      <c r="I189" t="s">
        <v>79</v>
      </c>
      <c r="J189" t="s">
        <v>30</v>
      </c>
      <c r="K189" t="s">
        <v>31</v>
      </c>
      <c r="L189" t="s">
        <v>45</v>
      </c>
      <c r="M189" t="s">
        <v>33</v>
      </c>
      <c r="N189">
        <v>0</v>
      </c>
      <c r="O189" t="s">
        <v>63</v>
      </c>
      <c r="P189" t="s">
        <v>35</v>
      </c>
      <c r="Q189" t="s">
        <v>81</v>
      </c>
      <c r="R189" t="s">
        <v>49</v>
      </c>
      <c r="S189" t="s">
        <v>38</v>
      </c>
      <c r="T189">
        <v>9</v>
      </c>
      <c r="U189">
        <v>95097</v>
      </c>
      <c r="V189">
        <v>0</v>
      </c>
      <c r="W189">
        <v>0</v>
      </c>
      <c r="X189">
        <v>0</v>
      </c>
      <c r="Y189">
        <f>IF(tbl_Incidents[[#This Row],[Lost_Time_Days]]&gt;0, 1, 0)</f>
        <v>0</v>
      </c>
      <c r="Z189" s="1">
        <f>DATE(tbl_Incidents[[#This Row],[Year]], tbl_Incidents[[#This Row],[Month]], 1)</f>
        <v>44896</v>
      </c>
      <c r="AA189" t="str">
        <f t="shared" si="2"/>
        <v>Thunderbird Mine|2022-12</v>
      </c>
    </row>
    <row r="190" spans="1:27" x14ac:dyDescent="0.35">
      <c r="A190" t="s">
        <v>288</v>
      </c>
      <c r="B190" s="1">
        <v>44945</v>
      </c>
      <c r="C190">
        <v>2023</v>
      </c>
      <c r="D190">
        <v>1</v>
      </c>
      <c r="E190" t="s">
        <v>129</v>
      </c>
      <c r="F190" t="s">
        <v>53</v>
      </c>
      <c r="G190" t="s">
        <v>105</v>
      </c>
      <c r="H190" t="s">
        <v>86</v>
      </c>
      <c r="I190" t="s">
        <v>110</v>
      </c>
      <c r="J190" t="s">
        <v>61</v>
      </c>
      <c r="K190" t="s">
        <v>165</v>
      </c>
      <c r="L190" t="s">
        <v>103</v>
      </c>
      <c r="M190" t="s">
        <v>33</v>
      </c>
      <c r="N190">
        <v>15</v>
      </c>
      <c r="O190" t="s">
        <v>75</v>
      </c>
      <c r="P190" t="s">
        <v>91</v>
      </c>
      <c r="Q190" t="s">
        <v>36</v>
      </c>
      <c r="R190" t="s">
        <v>57</v>
      </c>
      <c r="S190" t="s">
        <v>50</v>
      </c>
      <c r="T190">
        <v>11</v>
      </c>
      <c r="U190">
        <v>109316</v>
      </c>
      <c r="V190">
        <v>1</v>
      </c>
      <c r="W190">
        <v>0</v>
      </c>
      <c r="X190">
        <v>0</v>
      </c>
      <c r="Y190">
        <f>IF(tbl_Incidents[[#This Row],[Lost_Time_Days]]&gt;0, 1, 0)</f>
        <v>1</v>
      </c>
      <c r="Z190" s="1">
        <f>DATE(tbl_Incidents[[#This Row],[Year]], tbl_Incidents[[#This Row],[Month]], 1)</f>
        <v>44927</v>
      </c>
      <c r="AA190" t="str">
        <f t="shared" si="2"/>
        <v>Katherine Processing Site|2023-01</v>
      </c>
    </row>
    <row r="191" spans="1:27" x14ac:dyDescent="0.35">
      <c r="A191" t="s">
        <v>289</v>
      </c>
      <c r="B191" s="1">
        <v>44790</v>
      </c>
      <c r="C191">
        <v>2022</v>
      </c>
      <c r="D191">
        <v>8</v>
      </c>
      <c r="E191" t="s">
        <v>66</v>
      </c>
      <c r="F191" t="s">
        <v>67</v>
      </c>
      <c r="G191" t="s">
        <v>27</v>
      </c>
      <c r="H191" t="s">
        <v>68</v>
      </c>
      <c r="I191" t="s">
        <v>54</v>
      </c>
      <c r="J191" t="s">
        <v>30</v>
      </c>
      <c r="K191" t="s">
        <v>31</v>
      </c>
      <c r="L191" t="s">
        <v>32</v>
      </c>
      <c r="M191" t="s">
        <v>56</v>
      </c>
      <c r="N191">
        <v>0</v>
      </c>
      <c r="O191" t="s">
        <v>75</v>
      </c>
      <c r="P191" t="s">
        <v>47</v>
      </c>
      <c r="Q191" t="s">
        <v>76</v>
      </c>
      <c r="R191" t="s">
        <v>49</v>
      </c>
      <c r="S191" t="s">
        <v>38</v>
      </c>
      <c r="T191">
        <v>9</v>
      </c>
      <c r="U191">
        <v>100375</v>
      </c>
      <c r="V191">
        <v>0</v>
      </c>
      <c r="W191">
        <v>0</v>
      </c>
      <c r="X191">
        <v>0</v>
      </c>
      <c r="Y191">
        <f>IF(tbl_Incidents[[#This Row],[Lost_Time_Days]]&gt;0, 1, 0)</f>
        <v>0</v>
      </c>
      <c r="Z191" s="1">
        <f>DATE(tbl_Incidents[[#This Row],[Year]], tbl_Incidents[[#This Row],[Month]], 1)</f>
        <v>44774</v>
      </c>
      <c r="AA191" t="str">
        <f t="shared" si="2"/>
        <v>Thunderbird Mine|2022-08</v>
      </c>
    </row>
    <row r="192" spans="1:27" x14ac:dyDescent="0.35">
      <c r="A192" t="s">
        <v>290</v>
      </c>
      <c r="B192" s="1">
        <v>44916</v>
      </c>
      <c r="C192">
        <v>2022</v>
      </c>
      <c r="D192">
        <v>12</v>
      </c>
      <c r="E192" t="s">
        <v>123</v>
      </c>
      <c r="F192" t="s">
        <v>26</v>
      </c>
      <c r="G192" t="s">
        <v>59</v>
      </c>
      <c r="H192" t="s">
        <v>73</v>
      </c>
      <c r="I192" t="s">
        <v>44</v>
      </c>
      <c r="J192" t="s">
        <v>30</v>
      </c>
      <c r="K192" t="s">
        <v>165</v>
      </c>
      <c r="L192" t="s">
        <v>45</v>
      </c>
      <c r="M192" t="s">
        <v>46</v>
      </c>
      <c r="N192">
        <v>0</v>
      </c>
      <c r="O192" t="s">
        <v>63</v>
      </c>
      <c r="P192" t="s">
        <v>35</v>
      </c>
      <c r="Q192" t="s">
        <v>48</v>
      </c>
      <c r="R192" t="s">
        <v>57</v>
      </c>
      <c r="S192" t="s">
        <v>38</v>
      </c>
      <c r="T192">
        <v>8</v>
      </c>
      <c r="U192">
        <v>117849</v>
      </c>
      <c r="V192">
        <v>0</v>
      </c>
      <c r="W192">
        <v>0</v>
      </c>
      <c r="X192">
        <v>0</v>
      </c>
      <c r="Y192">
        <f>IF(tbl_Incidents[[#This Row],[Lost_Time_Days]]&gt;0, 1, 0)</f>
        <v>0</v>
      </c>
      <c r="Z192" s="1">
        <f>DATE(tbl_Incidents[[#This Row],[Year]], tbl_Incidents[[#This Row],[Month]], 1)</f>
        <v>44896</v>
      </c>
      <c r="AA192" t="str">
        <f t="shared" si="2"/>
        <v>Pilbara Crusher Plant|2022-12</v>
      </c>
    </row>
    <row r="193" spans="1:27" x14ac:dyDescent="0.35">
      <c r="A193" t="s">
        <v>291</v>
      </c>
      <c r="B193" s="1">
        <v>44596</v>
      </c>
      <c r="C193">
        <v>2022</v>
      </c>
      <c r="D193">
        <v>2</v>
      </c>
      <c r="E193" t="s">
        <v>52</v>
      </c>
      <c r="F193" t="s">
        <v>53</v>
      </c>
      <c r="G193" t="s">
        <v>27</v>
      </c>
      <c r="H193" t="s">
        <v>73</v>
      </c>
      <c r="I193" t="s">
        <v>110</v>
      </c>
      <c r="J193" t="s">
        <v>61</v>
      </c>
      <c r="K193" t="s">
        <v>147</v>
      </c>
      <c r="L193" t="s">
        <v>55</v>
      </c>
      <c r="M193" t="s">
        <v>56</v>
      </c>
      <c r="N193">
        <v>20</v>
      </c>
      <c r="O193" t="s">
        <v>34</v>
      </c>
      <c r="P193" t="s">
        <v>35</v>
      </c>
      <c r="Q193" t="s">
        <v>36</v>
      </c>
      <c r="R193" t="s">
        <v>57</v>
      </c>
      <c r="S193" t="s">
        <v>50</v>
      </c>
      <c r="T193">
        <v>10</v>
      </c>
      <c r="U193">
        <v>70692</v>
      </c>
      <c r="V193">
        <v>1</v>
      </c>
      <c r="W193">
        <v>0</v>
      </c>
      <c r="X193">
        <v>1</v>
      </c>
      <c r="Y193">
        <f>IF(tbl_Incidents[[#This Row],[Lost_Time_Days]]&gt;0, 1, 0)</f>
        <v>1</v>
      </c>
      <c r="Z193" s="1">
        <f>DATE(tbl_Incidents[[#This Row],[Year]], tbl_Incidents[[#This Row],[Month]], 1)</f>
        <v>44593</v>
      </c>
      <c r="AA193" t="str">
        <f t="shared" si="2"/>
        <v>Thunderbird Mine|2022-02</v>
      </c>
    </row>
    <row r="194" spans="1:27" x14ac:dyDescent="0.35">
      <c r="A194" t="s">
        <v>292</v>
      </c>
      <c r="B194" s="1">
        <v>45311</v>
      </c>
      <c r="C194">
        <v>2024</v>
      </c>
      <c r="D194">
        <v>1</v>
      </c>
      <c r="E194" t="s">
        <v>129</v>
      </c>
      <c r="F194" t="s">
        <v>53</v>
      </c>
      <c r="G194" t="s">
        <v>59</v>
      </c>
      <c r="H194" t="s">
        <v>43</v>
      </c>
      <c r="I194" t="s">
        <v>98</v>
      </c>
      <c r="J194" t="s">
        <v>30</v>
      </c>
      <c r="K194" t="s">
        <v>31</v>
      </c>
      <c r="L194" t="s">
        <v>95</v>
      </c>
      <c r="M194" t="s">
        <v>46</v>
      </c>
      <c r="N194">
        <v>0</v>
      </c>
      <c r="O194" t="s">
        <v>70</v>
      </c>
      <c r="P194" t="s">
        <v>91</v>
      </c>
      <c r="Q194" t="s">
        <v>48</v>
      </c>
      <c r="R194" t="s">
        <v>57</v>
      </c>
      <c r="S194" t="s">
        <v>38</v>
      </c>
      <c r="T194">
        <v>12</v>
      </c>
      <c r="U194">
        <v>68972</v>
      </c>
      <c r="V194">
        <v>0</v>
      </c>
      <c r="W194">
        <v>0</v>
      </c>
      <c r="X194">
        <v>0</v>
      </c>
      <c r="Y194">
        <f>IF(tbl_Incidents[[#This Row],[Lost_Time_Days]]&gt;0, 1, 0)</f>
        <v>0</v>
      </c>
      <c r="Z194" s="1">
        <f>DATE(tbl_Incidents[[#This Row],[Year]], tbl_Incidents[[#This Row],[Month]], 1)</f>
        <v>45292</v>
      </c>
      <c r="AA194" t="str">
        <f t="shared" ref="AA194:AA257" si="3">G194&amp;"|"&amp;TEXT(Z194,"yyyy-mm")</f>
        <v>Pilbara Crusher Plant|2024-01</v>
      </c>
    </row>
    <row r="195" spans="1:27" x14ac:dyDescent="0.35">
      <c r="A195" t="s">
        <v>293</v>
      </c>
      <c r="B195" s="1">
        <v>44985</v>
      </c>
      <c r="C195">
        <v>2023</v>
      </c>
      <c r="D195">
        <v>2</v>
      </c>
      <c r="E195" t="s">
        <v>52</v>
      </c>
      <c r="F195" t="s">
        <v>53</v>
      </c>
      <c r="G195" t="s">
        <v>59</v>
      </c>
      <c r="H195" t="s">
        <v>68</v>
      </c>
      <c r="I195" t="s">
        <v>60</v>
      </c>
      <c r="J195" t="s">
        <v>61</v>
      </c>
      <c r="K195" t="s">
        <v>31</v>
      </c>
      <c r="L195" t="s">
        <v>95</v>
      </c>
      <c r="M195" t="s">
        <v>46</v>
      </c>
      <c r="N195">
        <v>0</v>
      </c>
      <c r="O195" t="s">
        <v>34</v>
      </c>
      <c r="P195" t="s">
        <v>47</v>
      </c>
      <c r="Q195" t="s">
        <v>76</v>
      </c>
      <c r="R195" t="s">
        <v>49</v>
      </c>
      <c r="S195" t="s">
        <v>38</v>
      </c>
      <c r="T195">
        <v>10</v>
      </c>
      <c r="U195">
        <v>89958</v>
      </c>
      <c r="V195">
        <v>1</v>
      </c>
      <c r="W195">
        <v>0</v>
      </c>
      <c r="X195">
        <v>0</v>
      </c>
      <c r="Y195">
        <f>IF(tbl_Incidents[[#This Row],[Lost_Time_Days]]&gt;0, 1, 0)</f>
        <v>0</v>
      </c>
      <c r="Z195" s="1">
        <f>DATE(tbl_Incidents[[#This Row],[Year]], tbl_Incidents[[#This Row],[Month]], 1)</f>
        <v>44958</v>
      </c>
      <c r="AA195" t="str">
        <f t="shared" si="3"/>
        <v>Pilbara Crusher Plant|2023-02</v>
      </c>
    </row>
    <row r="196" spans="1:27" x14ac:dyDescent="0.35">
      <c r="A196" t="s">
        <v>294</v>
      </c>
      <c r="B196" s="1">
        <v>45366</v>
      </c>
      <c r="C196">
        <v>2024</v>
      </c>
      <c r="D196">
        <v>3</v>
      </c>
      <c r="E196" t="s">
        <v>125</v>
      </c>
      <c r="F196" t="s">
        <v>53</v>
      </c>
      <c r="G196" t="s">
        <v>59</v>
      </c>
      <c r="H196" t="s">
        <v>28</v>
      </c>
      <c r="I196" t="s">
        <v>98</v>
      </c>
      <c r="J196" t="s">
        <v>30</v>
      </c>
      <c r="K196" t="s">
        <v>31</v>
      </c>
      <c r="L196" t="s">
        <v>55</v>
      </c>
      <c r="M196" t="s">
        <v>56</v>
      </c>
      <c r="N196">
        <v>0</v>
      </c>
      <c r="O196" t="s">
        <v>34</v>
      </c>
      <c r="P196" t="s">
        <v>91</v>
      </c>
      <c r="Q196" t="s">
        <v>64</v>
      </c>
      <c r="R196" t="s">
        <v>57</v>
      </c>
      <c r="S196" t="s">
        <v>50</v>
      </c>
      <c r="T196">
        <v>11</v>
      </c>
      <c r="U196">
        <v>71584</v>
      </c>
      <c r="V196">
        <v>0</v>
      </c>
      <c r="W196">
        <v>0</v>
      </c>
      <c r="X196">
        <v>0</v>
      </c>
      <c r="Y196">
        <f>IF(tbl_Incidents[[#This Row],[Lost_Time_Days]]&gt;0, 1, 0)</f>
        <v>0</v>
      </c>
      <c r="Z196" s="1">
        <f>DATE(tbl_Incidents[[#This Row],[Year]], tbl_Incidents[[#This Row],[Month]], 1)</f>
        <v>45352</v>
      </c>
      <c r="AA196" t="str">
        <f t="shared" si="3"/>
        <v>Pilbara Crusher Plant|2024-03</v>
      </c>
    </row>
    <row r="197" spans="1:27" x14ac:dyDescent="0.35">
      <c r="A197" t="s">
        <v>295</v>
      </c>
      <c r="B197" s="1">
        <v>45431</v>
      </c>
      <c r="C197">
        <v>2024</v>
      </c>
      <c r="D197">
        <v>5</v>
      </c>
      <c r="E197" t="s">
        <v>109</v>
      </c>
      <c r="F197" t="s">
        <v>41</v>
      </c>
      <c r="G197" t="s">
        <v>59</v>
      </c>
      <c r="H197" t="s">
        <v>28</v>
      </c>
      <c r="I197" t="s">
        <v>44</v>
      </c>
      <c r="J197" t="s">
        <v>30</v>
      </c>
      <c r="K197" t="s">
        <v>112</v>
      </c>
      <c r="L197" t="s">
        <v>83</v>
      </c>
      <c r="M197" t="s">
        <v>33</v>
      </c>
      <c r="N197">
        <v>0</v>
      </c>
      <c r="O197" t="s">
        <v>90</v>
      </c>
      <c r="P197" t="s">
        <v>47</v>
      </c>
      <c r="Q197" t="s">
        <v>64</v>
      </c>
      <c r="R197" t="s">
        <v>37</v>
      </c>
      <c r="S197" t="s">
        <v>50</v>
      </c>
      <c r="T197">
        <v>9</v>
      </c>
      <c r="U197">
        <v>90910</v>
      </c>
      <c r="V197">
        <v>0</v>
      </c>
      <c r="W197">
        <v>0</v>
      </c>
      <c r="X197">
        <v>0</v>
      </c>
      <c r="Y197">
        <f>IF(tbl_Incidents[[#This Row],[Lost_Time_Days]]&gt;0, 1, 0)</f>
        <v>0</v>
      </c>
      <c r="Z197" s="1">
        <f>DATE(tbl_Incidents[[#This Row],[Year]], tbl_Incidents[[#This Row],[Month]], 1)</f>
        <v>45413</v>
      </c>
      <c r="AA197" t="str">
        <f t="shared" si="3"/>
        <v>Pilbara Crusher Plant|2024-05</v>
      </c>
    </row>
    <row r="198" spans="1:27" x14ac:dyDescent="0.35">
      <c r="A198" t="s">
        <v>296</v>
      </c>
      <c r="B198" s="1">
        <v>44810</v>
      </c>
      <c r="C198">
        <v>2022</v>
      </c>
      <c r="D198">
        <v>9</v>
      </c>
      <c r="E198" t="s">
        <v>97</v>
      </c>
      <c r="F198" t="s">
        <v>67</v>
      </c>
      <c r="G198" t="s">
        <v>42</v>
      </c>
      <c r="H198" t="s">
        <v>120</v>
      </c>
      <c r="I198" t="s">
        <v>60</v>
      </c>
      <c r="J198" t="s">
        <v>61</v>
      </c>
      <c r="K198" t="s">
        <v>165</v>
      </c>
      <c r="L198" t="s">
        <v>83</v>
      </c>
      <c r="M198" t="s">
        <v>56</v>
      </c>
      <c r="N198">
        <v>0</v>
      </c>
      <c r="O198" t="s">
        <v>34</v>
      </c>
      <c r="P198" t="s">
        <v>35</v>
      </c>
      <c r="Q198" t="s">
        <v>36</v>
      </c>
      <c r="R198" t="s">
        <v>57</v>
      </c>
      <c r="S198" t="s">
        <v>88</v>
      </c>
      <c r="T198">
        <v>12</v>
      </c>
      <c r="U198">
        <v>119026</v>
      </c>
      <c r="V198">
        <v>1</v>
      </c>
      <c r="W198">
        <v>0</v>
      </c>
      <c r="X198">
        <v>0</v>
      </c>
      <c r="Y198">
        <f>IF(tbl_Incidents[[#This Row],[Lost_Time_Days]]&gt;0, 1, 0)</f>
        <v>0</v>
      </c>
      <c r="Z198" s="1">
        <f>DATE(tbl_Incidents[[#This Row],[Year]], tbl_Incidents[[#This Row],[Month]], 1)</f>
        <v>44805</v>
      </c>
      <c r="AA198" t="str">
        <f t="shared" si="3"/>
        <v>Darwin Port Facility|2022-09</v>
      </c>
    </row>
    <row r="199" spans="1:27" x14ac:dyDescent="0.35">
      <c r="A199" t="s">
        <v>297</v>
      </c>
      <c r="B199" s="1">
        <v>44602</v>
      </c>
      <c r="C199">
        <v>2022</v>
      </c>
      <c r="D199">
        <v>2</v>
      </c>
      <c r="E199" t="s">
        <v>52</v>
      </c>
      <c r="F199" t="s">
        <v>53</v>
      </c>
      <c r="G199" t="s">
        <v>27</v>
      </c>
      <c r="H199" t="s">
        <v>73</v>
      </c>
      <c r="I199" t="s">
        <v>54</v>
      </c>
      <c r="J199" t="s">
        <v>30</v>
      </c>
      <c r="K199" t="s">
        <v>31</v>
      </c>
      <c r="L199" t="s">
        <v>95</v>
      </c>
      <c r="M199" t="s">
        <v>46</v>
      </c>
      <c r="N199">
        <v>0</v>
      </c>
      <c r="O199" t="s">
        <v>75</v>
      </c>
      <c r="P199" t="s">
        <v>35</v>
      </c>
      <c r="Q199" t="s">
        <v>64</v>
      </c>
      <c r="R199" t="s">
        <v>57</v>
      </c>
      <c r="S199" t="s">
        <v>38</v>
      </c>
      <c r="T199">
        <v>10</v>
      </c>
      <c r="U199">
        <v>42009</v>
      </c>
      <c r="V199">
        <v>0</v>
      </c>
      <c r="W199">
        <v>0</v>
      </c>
      <c r="X199">
        <v>0</v>
      </c>
      <c r="Y199">
        <f>IF(tbl_Incidents[[#This Row],[Lost_Time_Days]]&gt;0, 1, 0)</f>
        <v>0</v>
      </c>
      <c r="Z199" s="1">
        <f>DATE(tbl_Incidents[[#This Row],[Year]], tbl_Incidents[[#This Row],[Month]], 1)</f>
        <v>44593</v>
      </c>
      <c r="AA199" t="str">
        <f t="shared" si="3"/>
        <v>Thunderbird Mine|2022-02</v>
      </c>
    </row>
    <row r="200" spans="1:27" x14ac:dyDescent="0.35">
      <c r="A200" t="s">
        <v>298</v>
      </c>
      <c r="B200" s="1">
        <v>44778</v>
      </c>
      <c r="C200">
        <v>2022</v>
      </c>
      <c r="D200">
        <v>8</v>
      </c>
      <c r="E200" t="s">
        <v>66</v>
      </c>
      <c r="F200" t="s">
        <v>67</v>
      </c>
      <c r="G200" t="s">
        <v>27</v>
      </c>
      <c r="H200" t="s">
        <v>28</v>
      </c>
      <c r="I200" t="s">
        <v>44</v>
      </c>
      <c r="J200" t="s">
        <v>30</v>
      </c>
      <c r="K200" t="s">
        <v>31</v>
      </c>
      <c r="L200" t="s">
        <v>100</v>
      </c>
      <c r="M200" t="s">
        <v>46</v>
      </c>
      <c r="N200">
        <v>0</v>
      </c>
      <c r="O200" t="s">
        <v>90</v>
      </c>
      <c r="P200" t="s">
        <v>35</v>
      </c>
      <c r="Q200" t="s">
        <v>64</v>
      </c>
      <c r="R200" t="s">
        <v>57</v>
      </c>
      <c r="S200" t="s">
        <v>50</v>
      </c>
      <c r="T200">
        <v>10</v>
      </c>
      <c r="U200">
        <v>77101</v>
      </c>
      <c r="V200">
        <v>0</v>
      </c>
      <c r="W200">
        <v>0</v>
      </c>
      <c r="X200">
        <v>0</v>
      </c>
      <c r="Y200">
        <f>IF(tbl_Incidents[[#This Row],[Lost_Time_Days]]&gt;0, 1, 0)</f>
        <v>0</v>
      </c>
      <c r="Z200" s="1">
        <f>DATE(tbl_Incidents[[#This Row],[Year]], tbl_Incidents[[#This Row],[Month]], 1)</f>
        <v>44774</v>
      </c>
      <c r="AA200" t="str">
        <f t="shared" si="3"/>
        <v>Thunderbird Mine|2022-08</v>
      </c>
    </row>
    <row r="201" spans="1:27" x14ac:dyDescent="0.35">
      <c r="A201" t="s">
        <v>299</v>
      </c>
      <c r="B201" s="1">
        <v>44951</v>
      </c>
      <c r="C201">
        <v>2023</v>
      </c>
      <c r="D201">
        <v>1</v>
      </c>
      <c r="E201" t="s">
        <v>129</v>
      </c>
      <c r="F201" t="s">
        <v>53</v>
      </c>
      <c r="G201" t="s">
        <v>59</v>
      </c>
      <c r="H201" t="s">
        <v>120</v>
      </c>
      <c r="I201" t="s">
        <v>110</v>
      </c>
      <c r="J201" t="s">
        <v>61</v>
      </c>
      <c r="K201" t="s">
        <v>62</v>
      </c>
      <c r="L201" t="s">
        <v>80</v>
      </c>
      <c r="M201" t="s">
        <v>46</v>
      </c>
      <c r="N201">
        <v>18</v>
      </c>
      <c r="O201" t="s">
        <v>63</v>
      </c>
      <c r="P201" t="s">
        <v>47</v>
      </c>
      <c r="Q201" t="s">
        <v>36</v>
      </c>
      <c r="R201" t="s">
        <v>49</v>
      </c>
      <c r="S201" t="s">
        <v>38</v>
      </c>
      <c r="T201">
        <v>9</v>
      </c>
      <c r="U201">
        <v>88589</v>
      </c>
      <c r="V201">
        <v>1</v>
      </c>
      <c r="W201">
        <v>0</v>
      </c>
      <c r="X201">
        <v>0</v>
      </c>
      <c r="Y201">
        <f>IF(tbl_Incidents[[#This Row],[Lost_Time_Days]]&gt;0, 1, 0)</f>
        <v>1</v>
      </c>
      <c r="Z201" s="1">
        <f>DATE(tbl_Incidents[[#This Row],[Year]], tbl_Incidents[[#This Row],[Month]], 1)</f>
        <v>44927</v>
      </c>
      <c r="AA201" t="str">
        <f t="shared" si="3"/>
        <v>Pilbara Crusher Plant|2023-01</v>
      </c>
    </row>
    <row r="202" spans="1:27" x14ac:dyDescent="0.35">
      <c r="A202" t="s">
        <v>300</v>
      </c>
      <c r="B202" s="1">
        <v>44608</v>
      </c>
      <c r="C202">
        <v>2022</v>
      </c>
      <c r="D202">
        <v>2</v>
      </c>
      <c r="E202" t="s">
        <v>52</v>
      </c>
      <c r="F202" t="s">
        <v>53</v>
      </c>
      <c r="G202" t="s">
        <v>42</v>
      </c>
      <c r="H202" t="s">
        <v>28</v>
      </c>
      <c r="I202" t="s">
        <v>98</v>
      </c>
      <c r="J202" t="s">
        <v>30</v>
      </c>
      <c r="K202" t="s">
        <v>31</v>
      </c>
      <c r="L202" t="s">
        <v>93</v>
      </c>
      <c r="M202" t="s">
        <v>33</v>
      </c>
      <c r="N202">
        <v>0</v>
      </c>
      <c r="O202" t="s">
        <v>34</v>
      </c>
      <c r="P202" t="s">
        <v>47</v>
      </c>
      <c r="Q202" t="s">
        <v>81</v>
      </c>
      <c r="R202" t="s">
        <v>57</v>
      </c>
      <c r="S202" t="s">
        <v>38</v>
      </c>
      <c r="T202">
        <v>10</v>
      </c>
      <c r="U202">
        <v>70149</v>
      </c>
      <c r="V202">
        <v>0</v>
      </c>
      <c r="W202">
        <v>0</v>
      </c>
      <c r="X202">
        <v>0</v>
      </c>
      <c r="Y202">
        <f>IF(tbl_Incidents[[#This Row],[Lost_Time_Days]]&gt;0, 1, 0)</f>
        <v>0</v>
      </c>
      <c r="Z202" s="1">
        <f>DATE(tbl_Incidents[[#This Row],[Year]], tbl_Incidents[[#This Row],[Month]], 1)</f>
        <v>44593</v>
      </c>
      <c r="AA202" t="str">
        <f t="shared" si="3"/>
        <v>Darwin Port Facility|2022-02</v>
      </c>
    </row>
    <row r="203" spans="1:27" x14ac:dyDescent="0.35">
      <c r="A203" t="s">
        <v>301</v>
      </c>
      <c r="B203" s="1">
        <v>44950</v>
      </c>
      <c r="C203">
        <v>2023</v>
      </c>
      <c r="D203">
        <v>1</v>
      </c>
      <c r="E203" t="s">
        <v>129</v>
      </c>
      <c r="F203" t="s">
        <v>53</v>
      </c>
      <c r="G203" t="s">
        <v>42</v>
      </c>
      <c r="H203" t="s">
        <v>86</v>
      </c>
      <c r="I203" t="s">
        <v>98</v>
      </c>
      <c r="J203" t="s">
        <v>30</v>
      </c>
      <c r="K203" t="s">
        <v>31</v>
      </c>
      <c r="L203" t="s">
        <v>103</v>
      </c>
      <c r="M203" t="s">
        <v>46</v>
      </c>
      <c r="N203">
        <v>0</v>
      </c>
      <c r="O203" t="s">
        <v>75</v>
      </c>
      <c r="P203" t="s">
        <v>91</v>
      </c>
      <c r="Q203" t="s">
        <v>81</v>
      </c>
      <c r="R203" t="s">
        <v>49</v>
      </c>
      <c r="S203" t="s">
        <v>88</v>
      </c>
      <c r="T203">
        <v>11</v>
      </c>
      <c r="U203">
        <v>62050</v>
      </c>
      <c r="V203">
        <v>0</v>
      </c>
      <c r="W203">
        <v>0</v>
      </c>
      <c r="X203">
        <v>0</v>
      </c>
      <c r="Y203">
        <f>IF(tbl_Incidents[[#This Row],[Lost_Time_Days]]&gt;0, 1, 0)</f>
        <v>0</v>
      </c>
      <c r="Z203" s="1">
        <f>DATE(tbl_Incidents[[#This Row],[Year]], tbl_Incidents[[#This Row],[Month]], 1)</f>
        <v>44927</v>
      </c>
      <c r="AA203" t="str">
        <f t="shared" si="3"/>
        <v>Darwin Port Facility|2023-01</v>
      </c>
    </row>
    <row r="204" spans="1:27" x14ac:dyDescent="0.35">
      <c r="A204" t="s">
        <v>302</v>
      </c>
      <c r="B204" s="1">
        <v>45312</v>
      </c>
      <c r="C204">
        <v>2024</v>
      </c>
      <c r="D204">
        <v>1</v>
      </c>
      <c r="E204" t="s">
        <v>129</v>
      </c>
      <c r="F204" t="s">
        <v>53</v>
      </c>
      <c r="G204" t="s">
        <v>59</v>
      </c>
      <c r="H204" t="s">
        <v>73</v>
      </c>
      <c r="I204" t="s">
        <v>54</v>
      </c>
      <c r="J204" t="s">
        <v>30</v>
      </c>
      <c r="K204" t="s">
        <v>31</v>
      </c>
      <c r="L204" t="s">
        <v>93</v>
      </c>
      <c r="M204" t="s">
        <v>46</v>
      </c>
      <c r="N204">
        <v>0</v>
      </c>
      <c r="O204" t="s">
        <v>90</v>
      </c>
      <c r="P204" t="s">
        <v>47</v>
      </c>
      <c r="Q204" t="s">
        <v>48</v>
      </c>
      <c r="R204" t="s">
        <v>37</v>
      </c>
      <c r="S204" t="s">
        <v>38</v>
      </c>
      <c r="T204">
        <v>12</v>
      </c>
      <c r="U204">
        <v>44433</v>
      </c>
      <c r="V204">
        <v>0</v>
      </c>
      <c r="W204">
        <v>0</v>
      </c>
      <c r="X204">
        <v>0</v>
      </c>
      <c r="Y204">
        <f>IF(tbl_Incidents[[#This Row],[Lost_Time_Days]]&gt;0, 1, 0)</f>
        <v>0</v>
      </c>
      <c r="Z204" s="1">
        <f>DATE(tbl_Incidents[[#This Row],[Year]], tbl_Incidents[[#This Row],[Month]], 1)</f>
        <v>45292</v>
      </c>
      <c r="AA204" t="str">
        <f t="shared" si="3"/>
        <v>Pilbara Crusher Plant|2024-01</v>
      </c>
    </row>
    <row r="205" spans="1:27" x14ac:dyDescent="0.35">
      <c r="A205" t="s">
        <v>303</v>
      </c>
      <c r="B205" s="1">
        <v>45421</v>
      </c>
      <c r="C205">
        <v>2024</v>
      </c>
      <c r="D205">
        <v>5</v>
      </c>
      <c r="E205" t="s">
        <v>109</v>
      </c>
      <c r="F205" t="s">
        <v>41</v>
      </c>
      <c r="G205" t="s">
        <v>27</v>
      </c>
      <c r="H205" t="s">
        <v>28</v>
      </c>
      <c r="I205" t="s">
        <v>54</v>
      </c>
      <c r="J205" t="s">
        <v>30</v>
      </c>
      <c r="K205" t="s">
        <v>31</v>
      </c>
      <c r="L205" t="s">
        <v>45</v>
      </c>
      <c r="M205" t="s">
        <v>33</v>
      </c>
      <c r="N205">
        <v>0</v>
      </c>
      <c r="O205" t="s">
        <v>63</v>
      </c>
      <c r="P205" t="s">
        <v>35</v>
      </c>
      <c r="Q205" t="s">
        <v>48</v>
      </c>
      <c r="R205" t="s">
        <v>57</v>
      </c>
      <c r="S205" t="s">
        <v>38</v>
      </c>
      <c r="T205">
        <v>8</v>
      </c>
      <c r="U205">
        <v>68668</v>
      </c>
      <c r="V205">
        <v>0</v>
      </c>
      <c r="W205">
        <v>0</v>
      </c>
      <c r="X205">
        <v>0</v>
      </c>
      <c r="Y205">
        <f>IF(tbl_Incidents[[#This Row],[Lost_Time_Days]]&gt;0, 1, 0)</f>
        <v>0</v>
      </c>
      <c r="Z205" s="1">
        <f>DATE(tbl_Incidents[[#This Row],[Year]], tbl_Incidents[[#This Row],[Month]], 1)</f>
        <v>45413</v>
      </c>
      <c r="AA205" t="str">
        <f t="shared" si="3"/>
        <v>Thunderbird Mine|2024-05</v>
      </c>
    </row>
    <row r="206" spans="1:27" x14ac:dyDescent="0.35">
      <c r="A206" t="s">
        <v>304</v>
      </c>
      <c r="B206" s="1">
        <v>45079</v>
      </c>
      <c r="C206">
        <v>2023</v>
      </c>
      <c r="D206">
        <v>6</v>
      </c>
      <c r="E206" t="s">
        <v>72</v>
      </c>
      <c r="F206" t="s">
        <v>41</v>
      </c>
      <c r="G206" t="s">
        <v>27</v>
      </c>
      <c r="H206" t="s">
        <v>43</v>
      </c>
      <c r="I206" t="s">
        <v>110</v>
      </c>
      <c r="J206" t="s">
        <v>61</v>
      </c>
      <c r="K206" t="s">
        <v>31</v>
      </c>
      <c r="L206" t="s">
        <v>83</v>
      </c>
      <c r="M206" t="s">
        <v>46</v>
      </c>
      <c r="N206">
        <v>12</v>
      </c>
      <c r="O206" t="s">
        <v>63</v>
      </c>
      <c r="P206" t="s">
        <v>35</v>
      </c>
      <c r="Q206" t="s">
        <v>36</v>
      </c>
      <c r="R206" t="s">
        <v>37</v>
      </c>
      <c r="S206" t="s">
        <v>50</v>
      </c>
      <c r="T206">
        <v>11</v>
      </c>
      <c r="U206">
        <v>41553</v>
      </c>
      <c r="V206">
        <v>1</v>
      </c>
      <c r="W206">
        <v>0</v>
      </c>
      <c r="X206">
        <v>0</v>
      </c>
      <c r="Y206">
        <f>IF(tbl_Incidents[[#This Row],[Lost_Time_Days]]&gt;0, 1, 0)</f>
        <v>1</v>
      </c>
      <c r="Z206" s="1">
        <f>DATE(tbl_Incidents[[#This Row],[Year]], tbl_Incidents[[#This Row],[Month]], 1)</f>
        <v>45078</v>
      </c>
      <c r="AA206" t="str">
        <f t="shared" si="3"/>
        <v>Thunderbird Mine|2023-06</v>
      </c>
    </row>
    <row r="207" spans="1:27" x14ac:dyDescent="0.35">
      <c r="A207" t="s">
        <v>305</v>
      </c>
      <c r="B207" s="1">
        <v>45301</v>
      </c>
      <c r="C207">
        <v>2024</v>
      </c>
      <c r="D207">
        <v>1</v>
      </c>
      <c r="E207" t="s">
        <v>129</v>
      </c>
      <c r="F207" t="s">
        <v>53</v>
      </c>
      <c r="G207" t="s">
        <v>78</v>
      </c>
      <c r="H207" t="s">
        <v>120</v>
      </c>
      <c r="I207" t="s">
        <v>60</v>
      </c>
      <c r="J207" t="s">
        <v>61</v>
      </c>
      <c r="K207" t="s">
        <v>147</v>
      </c>
      <c r="L207" t="s">
        <v>103</v>
      </c>
      <c r="M207" t="s">
        <v>46</v>
      </c>
      <c r="N207">
        <v>0</v>
      </c>
      <c r="O207" t="s">
        <v>75</v>
      </c>
      <c r="P207" t="s">
        <v>47</v>
      </c>
      <c r="Q207" t="s">
        <v>48</v>
      </c>
      <c r="R207" t="s">
        <v>57</v>
      </c>
      <c r="S207" t="s">
        <v>38</v>
      </c>
      <c r="T207">
        <v>12</v>
      </c>
      <c r="U207">
        <v>59516</v>
      </c>
      <c r="V207">
        <v>1</v>
      </c>
      <c r="W207">
        <v>0</v>
      </c>
      <c r="X207">
        <v>0</v>
      </c>
      <c r="Y207">
        <f>IF(tbl_Incidents[[#This Row],[Lost_Time_Days]]&gt;0, 1, 0)</f>
        <v>0</v>
      </c>
      <c r="Z207" s="1">
        <f>DATE(tbl_Incidents[[#This Row],[Year]], tbl_Incidents[[#This Row],[Month]], 1)</f>
        <v>45292</v>
      </c>
      <c r="AA207" t="str">
        <f t="shared" si="3"/>
        <v>Broome Logistics Hub|2024-01</v>
      </c>
    </row>
    <row r="208" spans="1:27" x14ac:dyDescent="0.35">
      <c r="A208" t="s">
        <v>306</v>
      </c>
      <c r="B208" s="1">
        <v>44808</v>
      </c>
      <c r="C208">
        <v>2022</v>
      </c>
      <c r="D208">
        <v>9</v>
      </c>
      <c r="E208" t="s">
        <v>97</v>
      </c>
      <c r="F208" t="s">
        <v>67</v>
      </c>
      <c r="G208" t="s">
        <v>78</v>
      </c>
      <c r="H208" t="s">
        <v>43</v>
      </c>
      <c r="I208" t="s">
        <v>44</v>
      </c>
      <c r="J208" t="s">
        <v>30</v>
      </c>
      <c r="K208" t="s">
        <v>62</v>
      </c>
      <c r="L208" t="s">
        <v>80</v>
      </c>
      <c r="M208" t="s">
        <v>56</v>
      </c>
      <c r="N208">
        <v>0</v>
      </c>
      <c r="O208" t="s">
        <v>70</v>
      </c>
      <c r="P208" t="s">
        <v>47</v>
      </c>
      <c r="Q208" t="s">
        <v>36</v>
      </c>
      <c r="R208" t="s">
        <v>57</v>
      </c>
      <c r="S208" t="s">
        <v>88</v>
      </c>
      <c r="T208">
        <v>11</v>
      </c>
      <c r="U208">
        <v>114055</v>
      </c>
      <c r="V208">
        <v>0</v>
      </c>
      <c r="W208">
        <v>0</v>
      </c>
      <c r="X208">
        <v>0</v>
      </c>
      <c r="Y208">
        <f>IF(tbl_Incidents[[#This Row],[Lost_Time_Days]]&gt;0, 1, 0)</f>
        <v>0</v>
      </c>
      <c r="Z208" s="1">
        <f>DATE(tbl_Incidents[[#This Row],[Year]], tbl_Incidents[[#This Row],[Month]], 1)</f>
        <v>44805</v>
      </c>
      <c r="AA208" t="str">
        <f t="shared" si="3"/>
        <v>Broome Logistics Hub|2022-09</v>
      </c>
    </row>
    <row r="209" spans="1:27" x14ac:dyDescent="0.35">
      <c r="A209" t="s">
        <v>307</v>
      </c>
      <c r="B209" s="1">
        <v>44811</v>
      </c>
      <c r="C209">
        <v>2022</v>
      </c>
      <c r="D209">
        <v>9</v>
      </c>
      <c r="E209" t="s">
        <v>97</v>
      </c>
      <c r="F209" t="s">
        <v>67</v>
      </c>
      <c r="G209" t="s">
        <v>42</v>
      </c>
      <c r="H209" t="s">
        <v>120</v>
      </c>
      <c r="I209" t="s">
        <v>79</v>
      </c>
      <c r="J209" t="s">
        <v>30</v>
      </c>
      <c r="K209" t="s">
        <v>31</v>
      </c>
      <c r="L209" t="s">
        <v>74</v>
      </c>
      <c r="M209" t="s">
        <v>46</v>
      </c>
      <c r="N209">
        <v>0</v>
      </c>
      <c r="O209" t="s">
        <v>70</v>
      </c>
      <c r="P209" t="s">
        <v>35</v>
      </c>
      <c r="Q209" t="s">
        <v>36</v>
      </c>
      <c r="R209" t="s">
        <v>49</v>
      </c>
      <c r="S209" t="s">
        <v>88</v>
      </c>
      <c r="T209">
        <v>11</v>
      </c>
      <c r="U209">
        <v>112443</v>
      </c>
      <c r="V209">
        <v>0</v>
      </c>
      <c r="W209">
        <v>0</v>
      </c>
      <c r="X209">
        <v>0</v>
      </c>
      <c r="Y209">
        <f>IF(tbl_Incidents[[#This Row],[Lost_Time_Days]]&gt;0, 1, 0)</f>
        <v>0</v>
      </c>
      <c r="Z209" s="1">
        <f>DATE(tbl_Incidents[[#This Row],[Year]], tbl_Incidents[[#This Row],[Month]], 1)</f>
        <v>44805</v>
      </c>
      <c r="AA209" t="str">
        <f t="shared" si="3"/>
        <v>Darwin Port Facility|2022-09</v>
      </c>
    </row>
    <row r="210" spans="1:27" x14ac:dyDescent="0.35">
      <c r="A210" t="s">
        <v>308</v>
      </c>
      <c r="B210" s="1">
        <v>45049</v>
      </c>
      <c r="C210">
        <v>2023</v>
      </c>
      <c r="D210">
        <v>5</v>
      </c>
      <c r="E210" t="s">
        <v>109</v>
      </c>
      <c r="F210" t="s">
        <v>41</v>
      </c>
      <c r="G210" t="s">
        <v>27</v>
      </c>
      <c r="H210" t="s">
        <v>28</v>
      </c>
      <c r="I210" t="s">
        <v>29</v>
      </c>
      <c r="J210" t="s">
        <v>30</v>
      </c>
      <c r="K210" t="s">
        <v>31</v>
      </c>
      <c r="L210" t="s">
        <v>93</v>
      </c>
      <c r="M210" t="s">
        <v>33</v>
      </c>
      <c r="N210">
        <v>0</v>
      </c>
      <c r="O210" t="s">
        <v>63</v>
      </c>
      <c r="P210" t="s">
        <v>47</v>
      </c>
      <c r="Q210" t="s">
        <v>81</v>
      </c>
      <c r="R210" t="s">
        <v>37</v>
      </c>
      <c r="S210" t="s">
        <v>38</v>
      </c>
      <c r="T210">
        <v>12</v>
      </c>
      <c r="U210">
        <v>45577</v>
      </c>
      <c r="V210">
        <v>0</v>
      </c>
      <c r="W210">
        <v>0</v>
      </c>
      <c r="X210">
        <v>0</v>
      </c>
      <c r="Y210">
        <f>IF(tbl_Incidents[[#This Row],[Lost_Time_Days]]&gt;0, 1, 0)</f>
        <v>0</v>
      </c>
      <c r="Z210" s="1">
        <f>DATE(tbl_Incidents[[#This Row],[Year]], tbl_Incidents[[#This Row],[Month]], 1)</f>
        <v>45047</v>
      </c>
      <c r="AA210" t="str">
        <f t="shared" si="3"/>
        <v>Thunderbird Mine|2023-05</v>
      </c>
    </row>
    <row r="211" spans="1:27" x14ac:dyDescent="0.35">
      <c r="A211" t="s">
        <v>309</v>
      </c>
      <c r="B211" s="1">
        <v>45450</v>
      </c>
      <c r="C211">
        <v>2024</v>
      </c>
      <c r="D211">
        <v>6</v>
      </c>
      <c r="E211" t="s">
        <v>72</v>
      </c>
      <c r="F211" t="s">
        <v>41</v>
      </c>
      <c r="G211" t="s">
        <v>78</v>
      </c>
      <c r="H211" t="s">
        <v>86</v>
      </c>
      <c r="I211" t="s">
        <v>79</v>
      </c>
      <c r="J211" t="s">
        <v>30</v>
      </c>
      <c r="K211" t="s">
        <v>31</v>
      </c>
      <c r="L211" t="s">
        <v>32</v>
      </c>
      <c r="M211" t="s">
        <v>33</v>
      </c>
      <c r="N211">
        <v>0</v>
      </c>
      <c r="O211" t="s">
        <v>34</v>
      </c>
      <c r="P211" t="s">
        <v>91</v>
      </c>
      <c r="Q211" t="s">
        <v>76</v>
      </c>
      <c r="R211" t="s">
        <v>37</v>
      </c>
      <c r="S211" t="s">
        <v>38</v>
      </c>
      <c r="T211">
        <v>9</v>
      </c>
      <c r="U211">
        <v>81220</v>
      </c>
      <c r="V211">
        <v>0</v>
      </c>
      <c r="W211">
        <v>0</v>
      </c>
      <c r="X211">
        <v>0</v>
      </c>
      <c r="Y211">
        <f>IF(tbl_Incidents[[#This Row],[Lost_Time_Days]]&gt;0, 1, 0)</f>
        <v>0</v>
      </c>
      <c r="Z211" s="1">
        <f>DATE(tbl_Incidents[[#This Row],[Year]], tbl_Incidents[[#This Row],[Month]], 1)</f>
        <v>45444</v>
      </c>
      <c r="AA211" t="str">
        <f t="shared" si="3"/>
        <v>Broome Logistics Hub|2024-06</v>
      </c>
    </row>
    <row r="212" spans="1:27" x14ac:dyDescent="0.35">
      <c r="A212" t="s">
        <v>310</v>
      </c>
      <c r="B212" s="1">
        <v>44578</v>
      </c>
      <c r="C212">
        <v>2022</v>
      </c>
      <c r="D212">
        <v>1</v>
      </c>
      <c r="E212" t="s">
        <v>129</v>
      </c>
      <c r="F212" t="s">
        <v>53</v>
      </c>
      <c r="G212" t="s">
        <v>78</v>
      </c>
      <c r="H212" t="s">
        <v>73</v>
      </c>
      <c r="I212" t="s">
        <v>44</v>
      </c>
      <c r="J212" t="s">
        <v>30</v>
      </c>
      <c r="K212" t="s">
        <v>139</v>
      </c>
      <c r="L212" t="s">
        <v>74</v>
      </c>
      <c r="M212" t="s">
        <v>56</v>
      </c>
      <c r="N212">
        <v>0</v>
      </c>
      <c r="O212" t="s">
        <v>34</v>
      </c>
      <c r="P212" t="s">
        <v>35</v>
      </c>
      <c r="Q212" t="s">
        <v>76</v>
      </c>
      <c r="R212" t="s">
        <v>49</v>
      </c>
      <c r="S212" t="s">
        <v>50</v>
      </c>
      <c r="T212">
        <v>10</v>
      </c>
      <c r="U212">
        <v>90311</v>
      </c>
      <c r="V212">
        <v>0</v>
      </c>
      <c r="W212">
        <v>0</v>
      </c>
      <c r="X212">
        <v>0</v>
      </c>
      <c r="Y212">
        <f>IF(tbl_Incidents[[#This Row],[Lost_Time_Days]]&gt;0, 1, 0)</f>
        <v>0</v>
      </c>
      <c r="Z212" s="1">
        <f>DATE(tbl_Incidents[[#This Row],[Year]], tbl_Incidents[[#This Row],[Month]], 1)</f>
        <v>44562</v>
      </c>
      <c r="AA212" t="str">
        <f t="shared" si="3"/>
        <v>Broome Logistics Hub|2022-01</v>
      </c>
    </row>
    <row r="213" spans="1:27" x14ac:dyDescent="0.35">
      <c r="A213" t="s">
        <v>311</v>
      </c>
      <c r="B213" s="1">
        <v>45335</v>
      </c>
      <c r="C213">
        <v>2024</v>
      </c>
      <c r="D213">
        <v>2</v>
      </c>
      <c r="E213" t="s">
        <v>52</v>
      </c>
      <c r="F213" t="s">
        <v>53</v>
      </c>
      <c r="G213" t="s">
        <v>42</v>
      </c>
      <c r="H213" t="s">
        <v>28</v>
      </c>
      <c r="I213" t="s">
        <v>79</v>
      </c>
      <c r="J213" t="s">
        <v>30</v>
      </c>
      <c r="K213" t="s">
        <v>31</v>
      </c>
      <c r="L213" t="s">
        <v>74</v>
      </c>
      <c r="M213" t="s">
        <v>46</v>
      </c>
      <c r="N213">
        <v>0</v>
      </c>
      <c r="O213" t="s">
        <v>75</v>
      </c>
      <c r="P213" t="s">
        <v>91</v>
      </c>
      <c r="Q213" t="s">
        <v>36</v>
      </c>
      <c r="R213" t="s">
        <v>57</v>
      </c>
      <c r="S213" t="s">
        <v>88</v>
      </c>
      <c r="T213">
        <v>9</v>
      </c>
      <c r="U213">
        <v>49963</v>
      </c>
      <c r="V213">
        <v>0</v>
      </c>
      <c r="W213">
        <v>0</v>
      </c>
      <c r="X213">
        <v>0</v>
      </c>
      <c r="Y213">
        <f>IF(tbl_Incidents[[#This Row],[Lost_Time_Days]]&gt;0, 1, 0)</f>
        <v>0</v>
      </c>
      <c r="Z213" s="1">
        <f>DATE(tbl_Incidents[[#This Row],[Year]], tbl_Incidents[[#This Row],[Month]], 1)</f>
        <v>45323</v>
      </c>
      <c r="AA213" t="str">
        <f t="shared" si="3"/>
        <v>Darwin Port Facility|2024-02</v>
      </c>
    </row>
    <row r="214" spans="1:27" x14ac:dyDescent="0.35">
      <c r="A214" t="s">
        <v>312</v>
      </c>
      <c r="B214" s="1">
        <v>44910</v>
      </c>
      <c r="C214">
        <v>2022</v>
      </c>
      <c r="D214">
        <v>12</v>
      </c>
      <c r="E214" t="s">
        <v>123</v>
      </c>
      <c r="F214" t="s">
        <v>26</v>
      </c>
      <c r="G214" t="s">
        <v>78</v>
      </c>
      <c r="H214" t="s">
        <v>43</v>
      </c>
      <c r="I214" t="s">
        <v>98</v>
      </c>
      <c r="J214" t="s">
        <v>30</v>
      </c>
      <c r="K214" t="s">
        <v>31</v>
      </c>
      <c r="L214" t="s">
        <v>55</v>
      </c>
      <c r="M214" t="s">
        <v>56</v>
      </c>
      <c r="N214">
        <v>0</v>
      </c>
      <c r="O214" t="s">
        <v>34</v>
      </c>
      <c r="P214" t="s">
        <v>91</v>
      </c>
      <c r="Q214" t="s">
        <v>64</v>
      </c>
      <c r="R214" t="s">
        <v>49</v>
      </c>
      <c r="S214" t="s">
        <v>38</v>
      </c>
      <c r="T214">
        <v>10</v>
      </c>
      <c r="U214">
        <v>112487</v>
      </c>
      <c r="V214">
        <v>0</v>
      </c>
      <c r="W214">
        <v>0</v>
      </c>
      <c r="X214">
        <v>0</v>
      </c>
      <c r="Y214">
        <f>IF(tbl_Incidents[[#This Row],[Lost_Time_Days]]&gt;0, 1, 0)</f>
        <v>0</v>
      </c>
      <c r="Z214" s="1">
        <f>DATE(tbl_Incidents[[#This Row],[Year]], tbl_Incidents[[#This Row],[Month]], 1)</f>
        <v>44896</v>
      </c>
      <c r="AA214" t="str">
        <f t="shared" si="3"/>
        <v>Broome Logistics Hub|2022-12</v>
      </c>
    </row>
    <row r="215" spans="1:27" x14ac:dyDescent="0.35">
      <c r="A215" t="s">
        <v>313</v>
      </c>
      <c r="B215" s="1">
        <v>44946</v>
      </c>
      <c r="C215">
        <v>2023</v>
      </c>
      <c r="D215">
        <v>1</v>
      </c>
      <c r="E215" t="s">
        <v>129</v>
      </c>
      <c r="F215" t="s">
        <v>53</v>
      </c>
      <c r="G215" t="s">
        <v>78</v>
      </c>
      <c r="H215" t="s">
        <v>28</v>
      </c>
      <c r="I215" t="s">
        <v>110</v>
      </c>
      <c r="J215" t="s">
        <v>61</v>
      </c>
      <c r="K215" t="s">
        <v>139</v>
      </c>
      <c r="L215" t="s">
        <v>74</v>
      </c>
      <c r="M215" t="s">
        <v>46</v>
      </c>
      <c r="N215">
        <v>6</v>
      </c>
      <c r="O215" t="s">
        <v>34</v>
      </c>
      <c r="P215" t="s">
        <v>35</v>
      </c>
      <c r="Q215" t="s">
        <v>36</v>
      </c>
      <c r="R215" t="s">
        <v>57</v>
      </c>
      <c r="S215" t="s">
        <v>38</v>
      </c>
      <c r="T215">
        <v>9</v>
      </c>
      <c r="U215">
        <v>89807</v>
      </c>
      <c r="V215">
        <v>1</v>
      </c>
      <c r="W215">
        <v>0</v>
      </c>
      <c r="X215">
        <v>1</v>
      </c>
      <c r="Y215">
        <f>IF(tbl_Incidents[[#This Row],[Lost_Time_Days]]&gt;0, 1, 0)</f>
        <v>1</v>
      </c>
      <c r="Z215" s="1">
        <f>DATE(tbl_Incidents[[#This Row],[Year]], tbl_Incidents[[#This Row],[Month]], 1)</f>
        <v>44927</v>
      </c>
      <c r="AA215" t="str">
        <f t="shared" si="3"/>
        <v>Broome Logistics Hub|2023-01</v>
      </c>
    </row>
    <row r="216" spans="1:27" x14ac:dyDescent="0.35">
      <c r="A216" t="s">
        <v>314</v>
      </c>
      <c r="B216" s="1">
        <v>45211</v>
      </c>
      <c r="C216">
        <v>2023</v>
      </c>
      <c r="D216">
        <v>10</v>
      </c>
      <c r="E216" t="s">
        <v>25</v>
      </c>
      <c r="F216" t="s">
        <v>26</v>
      </c>
      <c r="G216" t="s">
        <v>105</v>
      </c>
      <c r="H216" t="s">
        <v>120</v>
      </c>
      <c r="I216" t="s">
        <v>44</v>
      </c>
      <c r="J216" t="s">
        <v>30</v>
      </c>
      <c r="K216" t="s">
        <v>117</v>
      </c>
      <c r="L216" t="s">
        <v>74</v>
      </c>
      <c r="M216" t="s">
        <v>33</v>
      </c>
      <c r="N216">
        <v>0</v>
      </c>
      <c r="O216" t="s">
        <v>34</v>
      </c>
      <c r="P216" t="s">
        <v>91</v>
      </c>
      <c r="Q216" t="s">
        <v>64</v>
      </c>
      <c r="R216" t="s">
        <v>57</v>
      </c>
      <c r="S216" t="s">
        <v>38</v>
      </c>
      <c r="T216">
        <v>8</v>
      </c>
      <c r="U216">
        <v>57367</v>
      </c>
      <c r="V216">
        <v>0</v>
      </c>
      <c r="W216">
        <v>0</v>
      </c>
      <c r="X216">
        <v>0</v>
      </c>
      <c r="Y216">
        <f>IF(tbl_Incidents[[#This Row],[Lost_Time_Days]]&gt;0, 1, 0)</f>
        <v>0</v>
      </c>
      <c r="Z216" s="1">
        <f>DATE(tbl_Incidents[[#This Row],[Year]], tbl_Incidents[[#This Row],[Month]], 1)</f>
        <v>45200</v>
      </c>
      <c r="AA216" t="str">
        <f t="shared" si="3"/>
        <v>Katherine Processing Site|2023-10</v>
      </c>
    </row>
    <row r="217" spans="1:27" x14ac:dyDescent="0.35">
      <c r="A217" t="s">
        <v>315</v>
      </c>
      <c r="B217" s="1">
        <v>44651</v>
      </c>
      <c r="C217">
        <v>2022</v>
      </c>
      <c r="D217">
        <v>3</v>
      </c>
      <c r="E217" t="s">
        <v>125</v>
      </c>
      <c r="F217" t="s">
        <v>53</v>
      </c>
      <c r="G217" t="s">
        <v>105</v>
      </c>
      <c r="H217" t="s">
        <v>86</v>
      </c>
      <c r="I217" t="s">
        <v>44</v>
      </c>
      <c r="J217" t="s">
        <v>30</v>
      </c>
      <c r="K217" t="s">
        <v>31</v>
      </c>
      <c r="L217" t="s">
        <v>103</v>
      </c>
      <c r="M217" t="s">
        <v>46</v>
      </c>
      <c r="N217">
        <v>0</v>
      </c>
      <c r="O217" t="s">
        <v>63</v>
      </c>
      <c r="P217" t="s">
        <v>35</v>
      </c>
      <c r="Q217" t="s">
        <v>36</v>
      </c>
      <c r="R217" t="s">
        <v>57</v>
      </c>
      <c r="S217" t="s">
        <v>38</v>
      </c>
      <c r="T217">
        <v>12</v>
      </c>
      <c r="U217">
        <v>52198</v>
      </c>
      <c r="V217">
        <v>0</v>
      </c>
      <c r="W217">
        <v>0</v>
      </c>
      <c r="X217">
        <v>0</v>
      </c>
      <c r="Y217">
        <f>IF(tbl_Incidents[[#This Row],[Lost_Time_Days]]&gt;0, 1, 0)</f>
        <v>0</v>
      </c>
      <c r="Z217" s="1">
        <f>DATE(tbl_Incidents[[#This Row],[Year]], tbl_Incidents[[#This Row],[Month]], 1)</f>
        <v>44621</v>
      </c>
      <c r="AA217" t="str">
        <f t="shared" si="3"/>
        <v>Katherine Processing Site|2022-03</v>
      </c>
    </row>
    <row r="218" spans="1:27" x14ac:dyDescent="0.35">
      <c r="A218" t="s">
        <v>316</v>
      </c>
      <c r="B218" s="1">
        <v>45173</v>
      </c>
      <c r="C218">
        <v>2023</v>
      </c>
      <c r="D218">
        <v>9</v>
      </c>
      <c r="E218" t="s">
        <v>97</v>
      </c>
      <c r="F218" t="s">
        <v>67</v>
      </c>
      <c r="G218" t="s">
        <v>59</v>
      </c>
      <c r="H218" t="s">
        <v>86</v>
      </c>
      <c r="I218" t="s">
        <v>98</v>
      </c>
      <c r="J218" t="s">
        <v>30</v>
      </c>
      <c r="K218" t="s">
        <v>31</v>
      </c>
      <c r="L218" t="s">
        <v>45</v>
      </c>
      <c r="M218" t="s">
        <v>56</v>
      </c>
      <c r="N218">
        <v>0</v>
      </c>
      <c r="O218" t="s">
        <v>63</v>
      </c>
      <c r="P218" t="s">
        <v>47</v>
      </c>
      <c r="Q218" t="s">
        <v>36</v>
      </c>
      <c r="R218" t="s">
        <v>37</v>
      </c>
      <c r="S218" t="s">
        <v>38</v>
      </c>
      <c r="T218">
        <v>12</v>
      </c>
      <c r="U218">
        <v>108302</v>
      </c>
      <c r="V218">
        <v>0</v>
      </c>
      <c r="W218">
        <v>0</v>
      </c>
      <c r="X218">
        <v>0</v>
      </c>
      <c r="Y218">
        <f>IF(tbl_Incidents[[#This Row],[Lost_Time_Days]]&gt;0, 1, 0)</f>
        <v>0</v>
      </c>
      <c r="Z218" s="1">
        <f>DATE(tbl_Incidents[[#This Row],[Year]], tbl_Incidents[[#This Row],[Month]], 1)</f>
        <v>45170</v>
      </c>
      <c r="AA218" t="str">
        <f t="shared" si="3"/>
        <v>Pilbara Crusher Plant|2023-09</v>
      </c>
    </row>
    <row r="219" spans="1:27" x14ac:dyDescent="0.35">
      <c r="A219" t="s">
        <v>317</v>
      </c>
      <c r="B219" s="1">
        <v>44735</v>
      </c>
      <c r="C219">
        <v>2022</v>
      </c>
      <c r="D219">
        <v>6</v>
      </c>
      <c r="E219" t="s">
        <v>72</v>
      </c>
      <c r="F219" t="s">
        <v>41</v>
      </c>
      <c r="G219" t="s">
        <v>105</v>
      </c>
      <c r="H219" t="s">
        <v>73</v>
      </c>
      <c r="I219" t="s">
        <v>79</v>
      </c>
      <c r="J219" t="s">
        <v>30</v>
      </c>
      <c r="K219" t="s">
        <v>31</v>
      </c>
      <c r="L219" t="s">
        <v>93</v>
      </c>
      <c r="M219" t="s">
        <v>56</v>
      </c>
      <c r="N219">
        <v>0</v>
      </c>
      <c r="O219" t="s">
        <v>34</v>
      </c>
      <c r="P219" t="s">
        <v>91</v>
      </c>
      <c r="Q219" t="s">
        <v>64</v>
      </c>
      <c r="R219" t="s">
        <v>57</v>
      </c>
      <c r="S219" t="s">
        <v>38</v>
      </c>
      <c r="T219">
        <v>9</v>
      </c>
      <c r="U219">
        <v>96973</v>
      </c>
      <c r="V219">
        <v>0</v>
      </c>
      <c r="W219">
        <v>0</v>
      </c>
      <c r="X219">
        <v>0</v>
      </c>
      <c r="Y219">
        <f>IF(tbl_Incidents[[#This Row],[Lost_Time_Days]]&gt;0, 1, 0)</f>
        <v>0</v>
      </c>
      <c r="Z219" s="1">
        <f>DATE(tbl_Incidents[[#This Row],[Year]], tbl_Incidents[[#This Row],[Month]], 1)</f>
        <v>44713</v>
      </c>
      <c r="AA219" t="str">
        <f t="shared" si="3"/>
        <v>Katherine Processing Site|2022-06</v>
      </c>
    </row>
    <row r="220" spans="1:27" x14ac:dyDescent="0.35">
      <c r="A220" t="s">
        <v>318</v>
      </c>
      <c r="B220" s="1">
        <v>44844</v>
      </c>
      <c r="C220">
        <v>2022</v>
      </c>
      <c r="D220">
        <v>10</v>
      </c>
      <c r="E220" t="s">
        <v>25</v>
      </c>
      <c r="F220" t="s">
        <v>26</v>
      </c>
      <c r="G220" t="s">
        <v>105</v>
      </c>
      <c r="H220" t="s">
        <v>68</v>
      </c>
      <c r="I220" t="s">
        <v>110</v>
      </c>
      <c r="J220" t="s">
        <v>61</v>
      </c>
      <c r="K220" t="s">
        <v>117</v>
      </c>
      <c r="L220" t="s">
        <v>32</v>
      </c>
      <c r="M220" t="s">
        <v>33</v>
      </c>
      <c r="N220">
        <v>10</v>
      </c>
      <c r="O220" t="s">
        <v>75</v>
      </c>
      <c r="P220" t="s">
        <v>47</v>
      </c>
      <c r="Q220" t="s">
        <v>76</v>
      </c>
      <c r="R220" t="s">
        <v>37</v>
      </c>
      <c r="S220" t="s">
        <v>38</v>
      </c>
      <c r="T220">
        <v>11</v>
      </c>
      <c r="U220">
        <v>54021</v>
      </c>
      <c r="V220">
        <v>1</v>
      </c>
      <c r="W220">
        <v>0</v>
      </c>
      <c r="X220">
        <v>0</v>
      </c>
      <c r="Y220">
        <f>IF(tbl_Incidents[[#This Row],[Lost_Time_Days]]&gt;0, 1, 0)</f>
        <v>1</v>
      </c>
      <c r="Z220" s="1">
        <f>DATE(tbl_Incidents[[#This Row],[Year]], tbl_Incidents[[#This Row],[Month]], 1)</f>
        <v>44835</v>
      </c>
      <c r="AA220" t="str">
        <f t="shared" si="3"/>
        <v>Katherine Processing Site|2022-10</v>
      </c>
    </row>
    <row r="221" spans="1:27" x14ac:dyDescent="0.35">
      <c r="A221" t="s">
        <v>319</v>
      </c>
      <c r="B221" s="1">
        <v>44568</v>
      </c>
      <c r="C221">
        <v>2022</v>
      </c>
      <c r="D221">
        <v>1</v>
      </c>
      <c r="E221" t="s">
        <v>129</v>
      </c>
      <c r="F221" t="s">
        <v>53</v>
      </c>
      <c r="G221" t="s">
        <v>78</v>
      </c>
      <c r="H221" t="s">
        <v>86</v>
      </c>
      <c r="I221" t="s">
        <v>110</v>
      </c>
      <c r="J221" t="s">
        <v>61</v>
      </c>
      <c r="K221" t="s">
        <v>117</v>
      </c>
      <c r="L221" t="s">
        <v>83</v>
      </c>
      <c r="M221" t="s">
        <v>56</v>
      </c>
      <c r="N221">
        <v>11</v>
      </c>
      <c r="O221" t="s">
        <v>63</v>
      </c>
      <c r="P221" t="s">
        <v>35</v>
      </c>
      <c r="Q221" t="s">
        <v>81</v>
      </c>
      <c r="R221" t="s">
        <v>57</v>
      </c>
      <c r="S221" t="s">
        <v>50</v>
      </c>
      <c r="T221">
        <v>9</v>
      </c>
      <c r="U221">
        <v>102784</v>
      </c>
      <c r="V221">
        <v>1</v>
      </c>
      <c r="W221">
        <v>0</v>
      </c>
      <c r="X221">
        <v>0</v>
      </c>
      <c r="Y221">
        <f>IF(tbl_Incidents[[#This Row],[Lost_Time_Days]]&gt;0, 1, 0)</f>
        <v>1</v>
      </c>
      <c r="Z221" s="1">
        <f>DATE(tbl_Incidents[[#This Row],[Year]], tbl_Incidents[[#This Row],[Month]], 1)</f>
        <v>44562</v>
      </c>
      <c r="AA221" t="str">
        <f t="shared" si="3"/>
        <v>Broome Logistics Hub|2022-01</v>
      </c>
    </row>
    <row r="222" spans="1:27" x14ac:dyDescent="0.35">
      <c r="A222" t="s">
        <v>320</v>
      </c>
      <c r="B222" s="1">
        <v>44969</v>
      </c>
      <c r="C222">
        <v>2023</v>
      </c>
      <c r="D222">
        <v>2</v>
      </c>
      <c r="E222" t="s">
        <v>52</v>
      </c>
      <c r="F222" t="s">
        <v>53</v>
      </c>
      <c r="G222" t="s">
        <v>59</v>
      </c>
      <c r="H222" t="s">
        <v>28</v>
      </c>
      <c r="I222" t="s">
        <v>60</v>
      </c>
      <c r="J222" t="s">
        <v>61</v>
      </c>
      <c r="K222" t="s">
        <v>31</v>
      </c>
      <c r="L222" t="s">
        <v>95</v>
      </c>
      <c r="M222" t="s">
        <v>33</v>
      </c>
      <c r="N222">
        <v>0</v>
      </c>
      <c r="O222" t="s">
        <v>34</v>
      </c>
      <c r="P222" t="s">
        <v>47</v>
      </c>
      <c r="Q222" t="s">
        <v>81</v>
      </c>
      <c r="R222" t="s">
        <v>49</v>
      </c>
      <c r="S222" t="s">
        <v>38</v>
      </c>
      <c r="T222">
        <v>8</v>
      </c>
      <c r="U222">
        <v>113905</v>
      </c>
      <c r="V222">
        <v>1</v>
      </c>
      <c r="W222">
        <v>0</v>
      </c>
      <c r="X222">
        <v>0</v>
      </c>
      <c r="Y222">
        <f>IF(tbl_Incidents[[#This Row],[Lost_Time_Days]]&gt;0, 1, 0)</f>
        <v>0</v>
      </c>
      <c r="Z222" s="1">
        <f>DATE(tbl_Incidents[[#This Row],[Year]], tbl_Incidents[[#This Row],[Month]], 1)</f>
        <v>44958</v>
      </c>
      <c r="AA222" t="str">
        <f t="shared" si="3"/>
        <v>Pilbara Crusher Plant|2023-02</v>
      </c>
    </row>
    <row r="223" spans="1:27" x14ac:dyDescent="0.35">
      <c r="A223" t="s">
        <v>321</v>
      </c>
      <c r="B223" s="1">
        <v>44766</v>
      </c>
      <c r="C223">
        <v>2022</v>
      </c>
      <c r="D223">
        <v>7</v>
      </c>
      <c r="E223" t="s">
        <v>85</v>
      </c>
      <c r="F223" t="s">
        <v>67</v>
      </c>
      <c r="G223" t="s">
        <v>78</v>
      </c>
      <c r="H223" t="s">
        <v>73</v>
      </c>
      <c r="I223" t="s">
        <v>98</v>
      </c>
      <c r="J223" t="s">
        <v>30</v>
      </c>
      <c r="K223" t="s">
        <v>31</v>
      </c>
      <c r="L223" t="s">
        <v>103</v>
      </c>
      <c r="M223" t="s">
        <v>33</v>
      </c>
      <c r="N223">
        <v>0</v>
      </c>
      <c r="O223" t="s">
        <v>75</v>
      </c>
      <c r="P223" t="s">
        <v>47</v>
      </c>
      <c r="Q223" t="s">
        <v>48</v>
      </c>
      <c r="R223" t="s">
        <v>49</v>
      </c>
      <c r="S223" t="s">
        <v>38</v>
      </c>
      <c r="T223">
        <v>8</v>
      </c>
      <c r="U223">
        <v>93627</v>
      </c>
      <c r="V223">
        <v>0</v>
      </c>
      <c r="W223">
        <v>0</v>
      </c>
      <c r="X223">
        <v>0</v>
      </c>
      <c r="Y223">
        <f>IF(tbl_Incidents[[#This Row],[Lost_Time_Days]]&gt;0, 1, 0)</f>
        <v>0</v>
      </c>
      <c r="Z223" s="1">
        <f>DATE(tbl_Incidents[[#This Row],[Year]], tbl_Incidents[[#This Row],[Month]], 1)</f>
        <v>44743</v>
      </c>
      <c r="AA223" t="str">
        <f t="shared" si="3"/>
        <v>Broome Logistics Hub|2022-07</v>
      </c>
    </row>
    <row r="224" spans="1:27" x14ac:dyDescent="0.35">
      <c r="A224" t="s">
        <v>322</v>
      </c>
      <c r="B224" s="1">
        <v>45251</v>
      </c>
      <c r="C224">
        <v>2023</v>
      </c>
      <c r="D224">
        <v>11</v>
      </c>
      <c r="E224" t="s">
        <v>107</v>
      </c>
      <c r="F224" t="s">
        <v>26</v>
      </c>
      <c r="G224" t="s">
        <v>59</v>
      </c>
      <c r="H224" t="s">
        <v>73</v>
      </c>
      <c r="I224" t="s">
        <v>110</v>
      </c>
      <c r="J224" t="s">
        <v>61</v>
      </c>
      <c r="K224" t="s">
        <v>62</v>
      </c>
      <c r="L224" t="s">
        <v>93</v>
      </c>
      <c r="M224" t="s">
        <v>46</v>
      </c>
      <c r="N224">
        <v>5</v>
      </c>
      <c r="O224" t="s">
        <v>63</v>
      </c>
      <c r="P224" t="s">
        <v>47</v>
      </c>
      <c r="Q224" t="s">
        <v>36</v>
      </c>
      <c r="R224" t="s">
        <v>49</v>
      </c>
      <c r="S224" t="s">
        <v>50</v>
      </c>
      <c r="T224">
        <v>11</v>
      </c>
      <c r="U224">
        <v>116315</v>
      </c>
      <c r="V224">
        <v>1</v>
      </c>
      <c r="W224">
        <v>0</v>
      </c>
      <c r="X224">
        <v>0</v>
      </c>
      <c r="Y224">
        <f>IF(tbl_Incidents[[#This Row],[Lost_Time_Days]]&gt;0, 1, 0)</f>
        <v>1</v>
      </c>
      <c r="Z224" s="1">
        <f>DATE(tbl_Incidents[[#This Row],[Year]], tbl_Incidents[[#This Row],[Month]], 1)</f>
        <v>45231</v>
      </c>
      <c r="AA224" t="str">
        <f t="shared" si="3"/>
        <v>Pilbara Crusher Plant|2023-11</v>
      </c>
    </row>
    <row r="225" spans="1:27" x14ac:dyDescent="0.35">
      <c r="A225" t="s">
        <v>323</v>
      </c>
      <c r="B225" s="1">
        <v>45080</v>
      </c>
      <c r="C225">
        <v>2023</v>
      </c>
      <c r="D225">
        <v>6</v>
      </c>
      <c r="E225" t="s">
        <v>72</v>
      </c>
      <c r="F225" t="s">
        <v>41</v>
      </c>
      <c r="G225" t="s">
        <v>105</v>
      </c>
      <c r="H225" t="s">
        <v>43</v>
      </c>
      <c r="I225" t="s">
        <v>54</v>
      </c>
      <c r="J225" t="s">
        <v>30</v>
      </c>
      <c r="K225" t="s">
        <v>31</v>
      </c>
      <c r="L225" t="s">
        <v>45</v>
      </c>
      <c r="M225" t="s">
        <v>56</v>
      </c>
      <c r="N225">
        <v>0</v>
      </c>
      <c r="O225" t="s">
        <v>75</v>
      </c>
      <c r="P225" t="s">
        <v>35</v>
      </c>
      <c r="Q225" t="s">
        <v>36</v>
      </c>
      <c r="R225" t="s">
        <v>57</v>
      </c>
      <c r="S225" t="s">
        <v>38</v>
      </c>
      <c r="T225">
        <v>9</v>
      </c>
      <c r="U225">
        <v>45806</v>
      </c>
      <c r="V225">
        <v>0</v>
      </c>
      <c r="W225">
        <v>0</v>
      </c>
      <c r="X225">
        <v>0</v>
      </c>
      <c r="Y225">
        <f>IF(tbl_Incidents[[#This Row],[Lost_Time_Days]]&gt;0, 1, 0)</f>
        <v>0</v>
      </c>
      <c r="Z225" s="1">
        <f>DATE(tbl_Incidents[[#This Row],[Year]], tbl_Incidents[[#This Row],[Month]], 1)</f>
        <v>45078</v>
      </c>
      <c r="AA225" t="str">
        <f t="shared" si="3"/>
        <v>Katherine Processing Site|2023-06</v>
      </c>
    </row>
    <row r="226" spans="1:27" x14ac:dyDescent="0.35">
      <c r="A226" t="s">
        <v>324</v>
      </c>
      <c r="B226" s="1">
        <v>45138</v>
      </c>
      <c r="C226">
        <v>2023</v>
      </c>
      <c r="D226">
        <v>7</v>
      </c>
      <c r="E226" t="s">
        <v>85</v>
      </c>
      <c r="F226" t="s">
        <v>67</v>
      </c>
      <c r="G226" t="s">
        <v>105</v>
      </c>
      <c r="H226" t="s">
        <v>120</v>
      </c>
      <c r="I226" t="s">
        <v>79</v>
      </c>
      <c r="J226" t="s">
        <v>30</v>
      </c>
      <c r="K226" t="s">
        <v>31</v>
      </c>
      <c r="L226" t="s">
        <v>55</v>
      </c>
      <c r="M226" t="s">
        <v>33</v>
      </c>
      <c r="N226">
        <v>0</v>
      </c>
      <c r="O226" t="s">
        <v>34</v>
      </c>
      <c r="P226" t="s">
        <v>35</v>
      </c>
      <c r="Q226" t="s">
        <v>81</v>
      </c>
      <c r="R226" t="s">
        <v>57</v>
      </c>
      <c r="S226" t="s">
        <v>50</v>
      </c>
      <c r="T226">
        <v>12</v>
      </c>
      <c r="U226">
        <v>113137</v>
      </c>
      <c r="V226">
        <v>0</v>
      </c>
      <c r="W226">
        <v>0</v>
      </c>
      <c r="X226">
        <v>0</v>
      </c>
      <c r="Y226">
        <f>IF(tbl_Incidents[[#This Row],[Lost_Time_Days]]&gt;0, 1, 0)</f>
        <v>0</v>
      </c>
      <c r="Z226" s="1">
        <f>DATE(tbl_Incidents[[#This Row],[Year]], tbl_Incidents[[#This Row],[Month]], 1)</f>
        <v>45108</v>
      </c>
      <c r="AA226" t="str">
        <f t="shared" si="3"/>
        <v>Katherine Processing Site|2023-07</v>
      </c>
    </row>
    <row r="227" spans="1:27" x14ac:dyDescent="0.35">
      <c r="A227" t="s">
        <v>325</v>
      </c>
      <c r="B227" s="1">
        <v>45156</v>
      </c>
      <c r="C227">
        <v>2023</v>
      </c>
      <c r="D227">
        <v>8</v>
      </c>
      <c r="E227" t="s">
        <v>66</v>
      </c>
      <c r="F227" t="s">
        <v>67</v>
      </c>
      <c r="G227" t="s">
        <v>78</v>
      </c>
      <c r="H227" t="s">
        <v>73</v>
      </c>
      <c r="I227" t="s">
        <v>79</v>
      </c>
      <c r="J227" t="s">
        <v>30</v>
      </c>
      <c r="K227" t="s">
        <v>31</v>
      </c>
      <c r="L227" t="s">
        <v>83</v>
      </c>
      <c r="M227" t="s">
        <v>56</v>
      </c>
      <c r="N227">
        <v>0</v>
      </c>
      <c r="O227" t="s">
        <v>63</v>
      </c>
      <c r="P227" t="s">
        <v>47</v>
      </c>
      <c r="Q227" t="s">
        <v>76</v>
      </c>
      <c r="R227" t="s">
        <v>37</v>
      </c>
      <c r="S227" t="s">
        <v>38</v>
      </c>
      <c r="T227">
        <v>10</v>
      </c>
      <c r="U227">
        <v>43219</v>
      </c>
      <c r="V227">
        <v>0</v>
      </c>
      <c r="W227">
        <v>0</v>
      </c>
      <c r="X227">
        <v>0</v>
      </c>
      <c r="Y227">
        <f>IF(tbl_Incidents[[#This Row],[Lost_Time_Days]]&gt;0, 1, 0)</f>
        <v>0</v>
      </c>
      <c r="Z227" s="1">
        <f>DATE(tbl_Incidents[[#This Row],[Year]], tbl_Incidents[[#This Row],[Month]], 1)</f>
        <v>45139</v>
      </c>
      <c r="AA227" t="str">
        <f t="shared" si="3"/>
        <v>Broome Logistics Hub|2023-08</v>
      </c>
    </row>
    <row r="228" spans="1:27" x14ac:dyDescent="0.35">
      <c r="A228" t="s">
        <v>326</v>
      </c>
      <c r="B228" s="1">
        <v>45056</v>
      </c>
      <c r="C228">
        <v>2023</v>
      </c>
      <c r="D228">
        <v>5</v>
      </c>
      <c r="E228" t="s">
        <v>109</v>
      </c>
      <c r="F228" t="s">
        <v>41</v>
      </c>
      <c r="G228" t="s">
        <v>59</v>
      </c>
      <c r="H228" t="s">
        <v>86</v>
      </c>
      <c r="I228" t="s">
        <v>29</v>
      </c>
      <c r="J228" t="s">
        <v>30</v>
      </c>
      <c r="K228" t="s">
        <v>31</v>
      </c>
      <c r="L228" t="s">
        <v>74</v>
      </c>
      <c r="M228" t="s">
        <v>33</v>
      </c>
      <c r="N228">
        <v>0</v>
      </c>
      <c r="O228" t="s">
        <v>70</v>
      </c>
      <c r="P228" t="s">
        <v>35</v>
      </c>
      <c r="Q228" t="s">
        <v>81</v>
      </c>
      <c r="R228" t="s">
        <v>57</v>
      </c>
      <c r="S228" t="s">
        <v>38</v>
      </c>
      <c r="T228">
        <v>11</v>
      </c>
      <c r="U228">
        <v>67114</v>
      </c>
      <c r="V228">
        <v>0</v>
      </c>
      <c r="W228">
        <v>0</v>
      </c>
      <c r="X228">
        <v>0</v>
      </c>
      <c r="Y228">
        <f>IF(tbl_Incidents[[#This Row],[Lost_Time_Days]]&gt;0, 1, 0)</f>
        <v>0</v>
      </c>
      <c r="Z228" s="1">
        <f>DATE(tbl_Incidents[[#This Row],[Year]], tbl_Incidents[[#This Row],[Month]], 1)</f>
        <v>45047</v>
      </c>
      <c r="AA228" t="str">
        <f t="shared" si="3"/>
        <v>Pilbara Crusher Plant|2023-05</v>
      </c>
    </row>
    <row r="229" spans="1:27" x14ac:dyDescent="0.35">
      <c r="A229" t="s">
        <v>327</v>
      </c>
      <c r="B229" s="1">
        <v>44918</v>
      </c>
      <c r="C229">
        <v>2022</v>
      </c>
      <c r="D229">
        <v>12</v>
      </c>
      <c r="E229" t="s">
        <v>123</v>
      </c>
      <c r="F229" t="s">
        <v>26</v>
      </c>
      <c r="G229" t="s">
        <v>105</v>
      </c>
      <c r="H229" t="s">
        <v>28</v>
      </c>
      <c r="I229" t="s">
        <v>110</v>
      </c>
      <c r="J229" t="s">
        <v>61</v>
      </c>
      <c r="K229" t="s">
        <v>31</v>
      </c>
      <c r="L229" t="s">
        <v>80</v>
      </c>
      <c r="M229" t="s">
        <v>33</v>
      </c>
      <c r="N229">
        <v>4</v>
      </c>
      <c r="O229" t="s">
        <v>34</v>
      </c>
      <c r="P229" t="s">
        <v>35</v>
      </c>
      <c r="Q229" t="s">
        <v>36</v>
      </c>
      <c r="R229" t="s">
        <v>57</v>
      </c>
      <c r="S229" t="s">
        <v>38</v>
      </c>
      <c r="T229">
        <v>8</v>
      </c>
      <c r="U229">
        <v>61542</v>
      </c>
      <c r="V229">
        <v>1</v>
      </c>
      <c r="W229">
        <v>0</v>
      </c>
      <c r="X229">
        <v>1</v>
      </c>
      <c r="Y229">
        <f>IF(tbl_Incidents[[#This Row],[Lost_Time_Days]]&gt;0, 1, 0)</f>
        <v>1</v>
      </c>
      <c r="Z229" s="1">
        <f>DATE(tbl_Incidents[[#This Row],[Year]], tbl_Incidents[[#This Row],[Month]], 1)</f>
        <v>44896</v>
      </c>
      <c r="AA229" t="str">
        <f t="shared" si="3"/>
        <v>Katherine Processing Site|2022-12</v>
      </c>
    </row>
    <row r="230" spans="1:27" x14ac:dyDescent="0.35">
      <c r="A230" t="s">
        <v>328</v>
      </c>
      <c r="B230" s="1">
        <v>45320</v>
      </c>
      <c r="C230">
        <v>2024</v>
      </c>
      <c r="D230">
        <v>1</v>
      </c>
      <c r="E230" t="s">
        <v>129</v>
      </c>
      <c r="F230" t="s">
        <v>53</v>
      </c>
      <c r="G230" t="s">
        <v>78</v>
      </c>
      <c r="H230" t="s">
        <v>73</v>
      </c>
      <c r="I230" t="s">
        <v>44</v>
      </c>
      <c r="J230" t="s">
        <v>30</v>
      </c>
      <c r="K230" t="s">
        <v>31</v>
      </c>
      <c r="L230" t="s">
        <v>93</v>
      </c>
      <c r="M230" t="s">
        <v>56</v>
      </c>
      <c r="N230">
        <v>0</v>
      </c>
      <c r="O230" t="s">
        <v>90</v>
      </c>
      <c r="P230" t="s">
        <v>47</v>
      </c>
      <c r="Q230" t="s">
        <v>64</v>
      </c>
      <c r="R230" t="s">
        <v>57</v>
      </c>
      <c r="S230" t="s">
        <v>88</v>
      </c>
      <c r="T230">
        <v>9</v>
      </c>
      <c r="U230">
        <v>64430</v>
      </c>
      <c r="V230">
        <v>0</v>
      </c>
      <c r="W230">
        <v>0</v>
      </c>
      <c r="X230">
        <v>0</v>
      </c>
      <c r="Y230">
        <f>IF(tbl_Incidents[[#This Row],[Lost_Time_Days]]&gt;0, 1, 0)</f>
        <v>0</v>
      </c>
      <c r="Z230" s="1">
        <f>DATE(tbl_Incidents[[#This Row],[Year]], tbl_Incidents[[#This Row],[Month]], 1)</f>
        <v>45292</v>
      </c>
      <c r="AA230" t="str">
        <f t="shared" si="3"/>
        <v>Broome Logistics Hub|2024-01</v>
      </c>
    </row>
    <row r="231" spans="1:27" x14ac:dyDescent="0.35">
      <c r="A231" t="s">
        <v>329</v>
      </c>
      <c r="B231" s="1">
        <v>45217</v>
      </c>
      <c r="C231">
        <v>2023</v>
      </c>
      <c r="D231">
        <v>10</v>
      </c>
      <c r="E231" t="s">
        <v>25</v>
      </c>
      <c r="F231" t="s">
        <v>26</v>
      </c>
      <c r="G231" t="s">
        <v>105</v>
      </c>
      <c r="H231" t="s">
        <v>86</v>
      </c>
      <c r="I231" t="s">
        <v>79</v>
      </c>
      <c r="J231" t="s">
        <v>30</v>
      </c>
      <c r="K231" t="s">
        <v>31</v>
      </c>
      <c r="L231" t="s">
        <v>45</v>
      </c>
      <c r="M231" t="s">
        <v>46</v>
      </c>
      <c r="N231">
        <v>0</v>
      </c>
      <c r="O231" t="s">
        <v>90</v>
      </c>
      <c r="P231" t="s">
        <v>35</v>
      </c>
      <c r="Q231" t="s">
        <v>64</v>
      </c>
      <c r="R231" t="s">
        <v>37</v>
      </c>
      <c r="S231" t="s">
        <v>88</v>
      </c>
      <c r="T231">
        <v>11</v>
      </c>
      <c r="U231">
        <v>40583</v>
      </c>
      <c r="V231">
        <v>0</v>
      </c>
      <c r="W231">
        <v>0</v>
      </c>
      <c r="X231">
        <v>0</v>
      </c>
      <c r="Y231">
        <f>IF(tbl_Incidents[[#This Row],[Lost_Time_Days]]&gt;0, 1, 0)</f>
        <v>0</v>
      </c>
      <c r="Z231" s="1">
        <f>DATE(tbl_Incidents[[#This Row],[Year]], tbl_Incidents[[#This Row],[Month]], 1)</f>
        <v>45200</v>
      </c>
      <c r="AA231" t="str">
        <f t="shared" si="3"/>
        <v>Katherine Processing Site|2023-10</v>
      </c>
    </row>
    <row r="232" spans="1:27" x14ac:dyDescent="0.35">
      <c r="A232" t="s">
        <v>330</v>
      </c>
      <c r="B232" s="1">
        <v>45283</v>
      </c>
      <c r="C232">
        <v>2023</v>
      </c>
      <c r="D232">
        <v>12</v>
      </c>
      <c r="E232" t="s">
        <v>123</v>
      </c>
      <c r="F232" t="s">
        <v>26</v>
      </c>
      <c r="G232" t="s">
        <v>42</v>
      </c>
      <c r="H232" t="s">
        <v>120</v>
      </c>
      <c r="I232" t="s">
        <v>44</v>
      </c>
      <c r="J232" t="s">
        <v>30</v>
      </c>
      <c r="K232" t="s">
        <v>165</v>
      </c>
      <c r="L232" t="s">
        <v>95</v>
      </c>
      <c r="M232" t="s">
        <v>33</v>
      </c>
      <c r="N232">
        <v>0</v>
      </c>
      <c r="O232" t="s">
        <v>70</v>
      </c>
      <c r="P232" t="s">
        <v>35</v>
      </c>
      <c r="Q232" t="s">
        <v>81</v>
      </c>
      <c r="R232" t="s">
        <v>57</v>
      </c>
      <c r="S232" t="s">
        <v>38</v>
      </c>
      <c r="T232">
        <v>11</v>
      </c>
      <c r="U232">
        <v>54936</v>
      </c>
      <c r="V232">
        <v>0</v>
      </c>
      <c r="W232">
        <v>0</v>
      </c>
      <c r="X232">
        <v>0</v>
      </c>
      <c r="Y232">
        <f>IF(tbl_Incidents[[#This Row],[Lost_Time_Days]]&gt;0, 1, 0)</f>
        <v>0</v>
      </c>
      <c r="Z232" s="1">
        <f>DATE(tbl_Incidents[[#This Row],[Year]], tbl_Incidents[[#This Row],[Month]], 1)</f>
        <v>45261</v>
      </c>
      <c r="AA232" t="str">
        <f t="shared" si="3"/>
        <v>Darwin Port Facility|2023-12</v>
      </c>
    </row>
    <row r="233" spans="1:27" x14ac:dyDescent="0.35">
      <c r="A233" t="s">
        <v>331</v>
      </c>
      <c r="B233" s="1">
        <v>44830</v>
      </c>
      <c r="C233">
        <v>2022</v>
      </c>
      <c r="D233">
        <v>9</v>
      </c>
      <c r="E233" t="s">
        <v>97</v>
      </c>
      <c r="F233" t="s">
        <v>67</v>
      </c>
      <c r="G233" t="s">
        <v>105</v>
      </c>
      <c r="H233" t="s">
        <v>43</v>
      </c>
      <c r="I233" t="s">
        <v>79</v>
      </c>
      <c r="J233" t="s">
        <v>30</v>
      </c>
      <c r="K233" t="s">
        <v>31</v>
      </c>
      <c r="L233" t="s">
        <v>80</v>
      </c>
      <c r="M233" t="s">
        <v>46</v>
      </c>
      <c r="N233">
        <v>0</v>
      </c>
      <c r="O233" t="s">
        <v>63</v>
      </c>
      <c r="P233" t="s">
        <v>47</v>
      </c>
      <c r="Q233" t="s">
        <v>76</v>
      </c>
      <c r="R233" t="s">
        <v>57</v>
      </c>
      <c r="S233" t="s">
        <v>38</v>
      </c>
      <c r="T233">
        <v>10</v>
      </c>
      <c r="U233">
        <v>100012</v>
      </c>
      <c r="V233">
        <v>0</v>
      </c>
      <c r="W233">
        <v>0</v>
      </c>
      <c r="X233">
        <v>0</v>
      </c>
      <c r="Y233">
        <f>IF(tbl_Incidents[[#This Row],[Lost_Time_Days]]&gt;0, 1, 0)</f>
        <v>0</v>
      </c>
      <c r="Z233" s="1">
        <f>DATE(tbl_Incidents[[#This Row],[Year]], tbl_Incidents[[#This Row],[Month]], 1)</f>
        <v>44805</v>
      </c>
      <c r="AA233" t="str">
        <f t="shared" si="3"/>
        <v>Katherine Processing Site|2022-09</v>
      </c>
    </row>
    <row r="234" spans="1:27" x14ac:dyDescent="0.35">
      <c r="A234" t="s">
        <v>332</v>
      </c>
      <c r="B234" s="1">
        <v>45194</v>
      </c>
      <c r="C234">
        <v>2023</v>
      </c>
      <c r="D234">
        <v>9</v>
      </c>
      <c r="E234" t="s">
        <v>97</v>
      </c>
      <c r="F234" t="s">
        <v>67</v>
      </c>
      <c r="G234" t="s">
        <v>59</v>
      </c>
      <c r="H234" t="s">
        <v>43</v>
      </c>
      <c r="I234" t="s">
        <v>44</v>
      </c>
      <c r="J234" t="s">
        <v>30</v>
      </c>
      <c r="K234" t="s">
        <v>31</v>
      </c>
      <c r="L234" t="s">
        <v>74</v>
      </c>
      <c r="M234" t="s">
        <v>46</v>
      </c>
      <c r="N234">
        <v>0</v>
      </c>
      <c r="O234" t="s">
        <v>34</v>
      </c>
      <c r="P234" t="s">
        <v>91</v>
      </c>
      <c r="Q234" t="s">
        <v>36</v>
      </c>
      <c r="R234" t="s">
        <v>57</v>
      </c>
      <c r="S234" t="s">
        <v>38</v>
      </c>
      <c r="T234">
        <v>8</v>
      </c>
      <c r="U234">
        <v>63992</v>
      </c>
      <c r="V234">
        <v>0</v>
      </c>
      <c r="W234">
        <v>0</v>
      </c>
      <c r="X234">
        <v>0</v>
      </c>
      <c r="Y234">
        <f>IF(tbl_Incidents[[#This Row],[Lost_Time_Days]]&gt;0, 1, 0)</f>
        <v>0</v>
      </c>
      <c r="Z234" s="1">
        <f>DATE(tbl_Incidents[[#This Row],[Year]], tbl_Incidents[[#This Row],[Month]], 1)</f>
        <v>45170</v>
      </c>
      <c r="AA234" t="str">
        <f t="shared" si="3"/>
        <v>Pilbara Crusher Plant|2023-09</v>
      </c>
    </row>
    <row r="235" spans="1:27" x14ac:dyDescent="0.35">
      <c r="A235" t="s">
        <v>333</v>
      </c>
      <c r="B235" s="1">
        <v>44944</v>
      </c>
      <c r="C235">
        <v>2023</v>
      </c>
      <c r="D235">
        <v>1</v>
      </c>
      <c r="E235" t="s">
        <v>129</v>
      </c>
      <c r="F235" t="s">
        <v>53</v>
      </c>
      <c r="G235" t="s">
        <v>42</v>
      </c>
      <c r="H235" t="s">
        <v>43</v>
      </c>
      <c r="I235" t="s">
        <v>79</v>
      </c>
      <c r="J235" t="s">
        <v>30</v>
      </c>
      <c r="K235" t="s">
        <v>31</v>
      </c>
      <c r="L235" t="s">
        <v>55</v>
      </c>
      <c r="M235" t="s">
        <v>56</v>
      </c>
      <c r="N235">
        <v>0</v>
      </c>
      <c r="O235" t="s">
        <v>90</v>
      </c>
      <c r="P235" t="s">
        <v>35</v>
      </c>
      <c r="Q235" t="s">
        <v>76</v>
      </c>
      <c r="R235" t="s">
        <v>49</v>
      </c>
      <c r="S235" t="s">
        <v>88</v>
      </c>
      <c r="T235">
        <v>9</v>
      </c>
      <c r="U235">
        <v>103788</v>
      </c>
      <c r="V235">
        <v>0</v>
      </c>
      <c r="W235">
        <v>0</v>
      </c>
      <c r="X235">
        <v>0</v>
      </c>
      <c r="Y235">
        <f>IF(tbl_Incidents[[#This Row],[Lost_Time_Days]]&gt;0, 1, 0)</f>
        <v>0</v>
      </c>
      <c r="Z235" s="1">
        <f>DATE(tbl_Incidents[[#This Row],[Year]], tbl_Incidents[[#This Row],[Month]], 1)</f>
        <v>44927</v>
      </c>
      <c r="AA235" t="str">
        <f t="shared" si="3"/>
        <v>Darwin Port Facility|2023-01</v>
      </c>
    </row>
    <row r="236" spans="1:27" x14ac:dyDescent="0.35">
      <c r="A236" t="s">
        <v>334</v>
      </c>
      <c r="B236" s="1">
        <v>45212</v>
      </c>
      <c r="C236">
        <v>2023</v>
      </c>
      <c r="D236">
        <v>10</v>
      </c>
      <c r="E236" t="s">
        <v>25</v>
      </c>
      <c r="F236" t="s">
        <v>26</v>
      </c>
      <c r="G236" t="s">
        <v>42</v>
      </c>
      <c r="H236" t="s">
        <v>43</v>
      </c>
      <c r="I236" t="s">
        <v>98</v>
      </c>
      <c r="J236" t="s">
        <v>30</v>
      </c>
      <c r="K236" t="s">
        <v>31</v>
      </c>
      <c r="L236" t="s">
        <v>93</v>
      </c>
      <c r="M236" t="s">
        <v>56</v>
      </c>
      <c r="N236">
        <v>0</v>
      </c>
      <c r="O236" t="s">
        <v>34</v>
      </c>
      <c r="P236" t="s">
        <v>35</v>
      </c>
      <c r="Q236" t="s">
        <v>48</v>
      </c>
      <c r="R236" t="s">
        <v>57</v>
      </c>
      <c r="S236" t="s">
        <v>88</v>
      </c>
      <c r="T236">
        <v>12</v>
      </c>
      <c r="U236">
        <v>47026</v>
      </c>
      <c r="V236">
        <v>0</v>
      </c>
      <c r="W236">
        <v>0</v>
      </c>
      <c r="X236">
        <v>0</v>
      </c>
      <c r="Y236">
        <f>IF(tbl_Incidents[[#This Row],[Lost_Time_Days]]&gt;0, 1, 0)</f>
        <v>0</v>
      </c>
      <c r="Z236" s="1">
        <f>DATE(tbl_Incidents[[#This Row],[Year]], tbl_Incidents[[#This Row],[Month]], 1)</f>
        <v>45200</v>
      </c>
      <c r="AA236" t="str">
        <f t="shared" si="3"/>
        <v>Darwin Port Facility|2023-10</v>
      </c>
    </row>
    <row r="237" spans="1:27" x14ac:dyDescent="0.35">
      <c r="A237" t="s">
        <v>335</v>
      </c>
      <c r="B237" s="1">
        <v>45448</v>
      </c>
      <c r="C237">
        <v>2024</v>
      </c>
      <c r="D237">
        <v>6</v>
      </c>
      <c r="E237" t="s">
        <v>72</v>
      </c>
      <c r="F237" t="s">
        <v>41</v>
      </c>
      <c r="G237" t="s">
        <v>27</v>
      </c>
      <c r="H237" t="s">
        <v>86</v>
      </c>
      <c r="I237" t="s">
        <v>60</v>
      </c>
      <c r="J237" t="s">
        <v>61</v>
      </c>
      <c r="K237" t="s">
        <v>112</v>
      </c>
      <c r="L237" t="s">
        <v>100</v>
      </c>
      <c r="M237" t="s">
        <v>56</v>
      </c>
      <c r="N237">
        <v>0</v>
      </c>
      <c r="O237" t="s">
        <v>90</v>
      </c>
      <c r="P237" t="s">
        <v>47</v>
      </c>
      <c r="Q237" t="s">
        <v>64</v>
      </c>
      <c r="R237" t="s">
        <v>49</v>
      </c>
      <c r="S237" t="s">
        <v>88</v>
      </c>
      <c r="T237">
        <v>11</v>
      </c>
      <c r="U237">
        <v>104054</v>
      </c>
      <c r="V237">
        <v>1</v>
      </c>
      <c r="W237">
        <v>0</v>
      </c>
      <c r="X237">
        <v>0</v>
      </c>
      <c r="Y237">
        <f>IF(tbl_Incidents[[#This Row],[Lost_Time_Days]]&gt;0, 1, 0)</f>
        <v>0</v>
      </c>
      <c r="Z237" s="1">
        <f>DATE(tbl_Incidents[[#This Row],[Year]], tbl_Incidents[[#This Row],[Month]], 1)</f>
        <v>45444</v>
      </c>
      <c r="AA237" t="str">
        <f t="shared" si="3"/>
        <v>Thunderbird Mine|2024-06</v>
      </c>
    </row>
    <row r="238" spans="1:27" x14ac:dyDescent="0.35">
      <c r="A238" t="s">
        <v>336</v>
      </c>
      <c r="B238" s="1">
        <v>44733</v>
      </c>
      <c r="C238">
        <v>2022</v>
      </c>
      <c r="D238">
        <v>6</v>
      </c>
      <c r="E238" t="s">
        <v>72</v>
      </c>
      <c r="F238" t="s">
        <v>41</v>
      </c>
      <c r="G238" t="s">
        <v>78</v>
      </c>
      <c r="H238" t="s">
        <v>68</v>
      </c>
      <c r="I238" t="s">
        <v>29</v>
      </c>
      <c r="J238" t="s">
        <v>30</v>
      </c>
      <c r="K238" t="s">
        <v>31</v>
      </c>
      <c r="L238" t="s">
        <v>100</v>
      </c>
      <c r="M238" t="s">
        <v>56</v>
      </c>
      <c r="N238">
        <v>0</v>
      </c>
      <c r="O238" t="s">
        <v>34</v>
      </c>
      <c r="P238" t="s">
        <v>91</v>
      </c>
      <c r="Q238" t="s">
        <v>48</v>
      </c>
      <c r="R238" t="s">
        <v>37</v>
      </c>
      <c r="S238" t="s">
        <v>38</v>
      </c>
      <c r="T238">
        <v>9</v>
      </c>
      <c r="U238">
        <v>99942</v>
      </c>
      <c r="V238">
        <v>0</v>
      </c>
      <c r="W238">
        <v>0</v>
      </c>
      <c r="X238">
        <v>0</v>
      </c>
      <c r="Y238">
        <f>IF(tbl_Incidents[[#This Row],[Lost_Time_Days]]&gt;0, 1, 0)</f>
        <v>0</v>
      </c>
      <c r="Z238" s="1">
        <f>DATE(tbl_Incidents[[#This Row],[Year]], tbl_Incidents[[#This Row],[Month]], 1)</f>
        <v>44713</v>
      </c>
      <c r="AA238" t="str">
        <f t="shared" si="3"/>
        <v>Broome Logistics Hub|2022-06</v>
      </c>
    </row>
    <row r="239" spans="1:27" x14ac:dyDescent="0.35">
      <c r="A239" t="s">
        <v>337</v>
      </c>
      <c r="B239" s="1">
        <v>45353</v>
      </c>
      <c r="C239">
        <v>2024</v>
      </c>
      <c r="D239">
        <v>3</v>
      </c>
      <c r="E239" t="s">
        <v>125</v>
      </c>
      <c r="F239" t="s">
        <v>53</v>
      </c>
      <c r="G239" t="s">
        <v>105</v>
      </c>
      <c r="H239" t="s">
        <v>43</v>
      </c>
      <c r="I239" t="s">
        <v>54</v>
      </c>
      <c r="J239" t="s">
        <v>30</v>
      </c>
      <c r="K239" t="s">
        <v>31</v>
      </c>
      <c r="L239" t="s">
        <v>103</v>
      </c>
      <c r="M239" t="s">
        <v>33</v>
      </c>
      <c r="N239">
        <v>0</v>
      </c>
      <c r="O239" t="s">
        <v>90</v>
      </c>
      <c r="P239" t="s">
        <v>35</v>
      </c>
      <c r="Q239" t="s">
        <v>81</v>
      </c>
      <c r="R239" t="s">
        <v>37</v>
      </c>
      <c r="S239" t="s">
        <v>38</v>
      </c>
      <c r="T239">
        <v>12</v>
      </c>
      <c r="U239">
        <v>45453</v>
      </c>
      <c r="V239">
        <v>0</v>
      </c>
      <c r="W239">
        <v>0</v>
      </c>
      <c r="X239">
        <v>0</v>
      </c>
      <c r="Y239">
        <f>IF(tbl_Incidents[[#This Row],[Lost_Time_Days]]&gt;0, 1, 0)</f>
        <v>0</v>
      </c>
      <c r="Z239" s="1">
        <f>DATE(tbl_Incidents[[#This Row],[Year]], tbl_Incidents[[#This Row],[Month]], 1)</f>
        <v>45352</v>
      </c>
      <c r="AA239" t="str">
        <f t="shared" si="3"/>
        <v>Katherine Processing Site|2024-03</v>
      </c>
    </row>
    <row r="240" spans="1:27" x14ac:dyDescent="0.35">
      <c r="A240" t="s">
        <v>338</v>
      </c>
      <c r="B240" s="1">
        <v>45340</v>
      </c>
      <c r="C240">
        <v>2024</v>
      </c>
      <c r="D240">
        <v>2</v>
      </c>
      <c r="E240" t="s">
        <v>52</v>
      </c>
      <c r="F240" t="s">
        <v>53</v>
      </c>
      <c r="G240" t="s">
        <v>105</v>
      </c>
      <c r="H240" t="s">
        <v>43</v>
      </c>
      <c r="I240" t="s">
        <v>79</v>
      </c>
      <c r="J240" t="s">
        <v>30</v>
      </c>
      <c r="K240" t="s">
        <v>31</v>
      </c>
      <c r="L240" t="s">
        <v>100</v>
      </c>
      <c r="M240" t="s">
        <v>56</v>
      </c>
      <c r="N240">
        <v>0</v>
      </c>
      <c r="O240" t="s">
        <v>34</v>
      </c>
      <c r="P240" t="s">
        <v>35</v>
      </c>
      <c r="Q240" t="s">
        <v>81</v>
      </c>
      <c r="R240" t="s">
        <v>57</v>
      </c>
      <c r="S240" t="s">
        <v>88</v>
      </c>
      <c r="T240">
        <v>10</v>
      </c>
      <c r="U240">
        <v>85688</v>
      </c>
      <c r="V240">
        <v>0</v>
      </c>
      <c r="W240">
        <v>0</v>
      </c>
      <c r="X240">
        <v>0</v>
      </c>
      <c r="Y240">
        <f>IF(tbl_Incidents[[#This Row],[Lost_Time_Days]]&gt;0, 1, 0)</f>
        <v>0</v>
      </c>
      <c r="Z240" s="1">
        <f>DATE(tbl_Incidents[[#This Row],[Year]], tbl_Incidents[[#This Row],[Month]], 1)</f>
        <v>45323</v>
      </c>
      <c r="AA240" t="str">
        <f t="shared" si="3"/>
        <v>Katherine Processing Site|2024-02</v>
      </c>
    </row>
    <row r="241" spans="1:27" x14ac:dyDescent="0.35">
      <c r="A241" t="s">
        <v>339</v>
      </c>
      <c r="B241" s="1">
        <v>45444</v>
      </c>
      <c r="C241">
        <v>2024</v>
      </c>
      <c r="D241">
        <v>6</v>
      </c>
      <c r="E241" t="s">
        <v>72</v>
      </c>
      <c r="F241" t="s">
        <v>41</v>
      </c>
      <c r="G241" t="s">
        <v>27</v>
      </c>
      <c r="H241" t="s">
        <v>86</v>
      </c>
      <c r="I241" t="s">
        <v>54</v>
      </c>
      <c r="J241" t="s">
        <v>30</v>
      </c>
      <c r="K241" t="s">
        <v>31</v>
      </c>
      <c r="L241" t="s">
        <v>74</v>
      </c>
      <c r="M241" t="s">
        <v>33</v>
      </c>
      <c r="N241">
        <v>0</v>
      </c>
      <c r="O241" t="s">
        <v>34</v>
      </c>
      <c r="P241" t="s">
        <v>91</v>
      </c>
      <c r="Q241" t="s">
        <v>76</v>
      </c>
      <c r="R241" t="s">
        <v>49</v>
      </c>
      <c r="S241" t="s">
        <v>38</v>
      </c>
      <c r="T241">
        <v>12</v>
      </c>
      <c r="U241">
        <v>58249</v>
      </c>
      <c r="V241">
        <v>0</v>
      </c>
      <c r="W241">
        <v>0</v>
      </c>
      <c r="X241">
        <v>0</v>
      </c>
      <c r="Y241">
        <f>IF(tbl_Incidents[[#This Row],[Lost_Time_Days]]&gt;0, 1, 0)</f>
        <v>0</v>
      </c>
      <c r="Z241" s="1">
        <f>DATE(tbl_Incidents[[#This Row],[Year]], tbl_Incidents[[#This Row],[Month]], 1)</f>
        <v>45444</v>
      </c>
      <c r="AA241" t="str">
        <f t="shared" si="3"/>
        <v>Thunderbird Mine|2024-06</v>
      </c>
    </row>
    <row r="242" spans="1:27" x14ac:dyDescent="0.35">
      <c r="A242" t="s">
        <v>340</v>
      </c>
      <c r="B242" s="1">
        <v>45365</v>
      </c>
      <c r="C242">
        <v>2024</v>
      </c>
      <c r="D242">
        <v>3</v>
      </c>
      <c r="E242" t="s">
        <v>125</v>
      </c>
      <c r="F242" t="s">
        <v>53</v>
      </c>
      <c r="G242" t="s">
        <v>42</v>
      </c>
      <c r="H242" t="s">
        <v>68</v>
      </c>
      <c r="I242" t="s">
        <v>44</v>
      </c>
      <c r="J242" t="s">
        <v>30</v>
      </c>
      <c r="K242" t="s">
        <v>31</v>
      </c>
      <c r="L242" t="s">
        <v>80</v>
      </c>
      <c r="M242" t="s">
        <v>46</v>
      </c>
      <c r="N242">
        <v>0</v>
      </c>
      <c r="O242" t="s">
        <v>34</v>
      </c>
      <c r="P242" t="s">
        <v>35</v>
      </c>
      <c r="Q242" t="s">
        <v>81</v>
      </c>
      <c r="R242" t="s">
        <v>57</v>
      </c>
      <c r="S242" t="s">
        <v>38</v>
      </c>
      <c r="T242">
        <v>12</v>
      </c>
      <c r="U242">
        <v>75041</v>
      </c>
      <c r="V242">
        <v>0</v>
      </c>
      <c r="W242">
        <v>0</v>
      </c>
      <c r="X242">
        <v>0</v>
      </c>
      <c r="Y242">
        <f>IF(tbl_Incidents[[#This Row],[Lost_Time_Days]]&gt;0, 1, 0)</f>
        <v>0</v>
      </c>
      <c r="Z242" s="1">
        <f>DATE(tbl_Incidents[[#This Row],[Year]], tbl_Incidents[[#This Row],[Month]], 1)</f>
        <v>45352</v>
      </c>
      <c r="AA242" t="str">
        <f t="shared" si="3"/>
        <v>Darwin Port Facility|2024-03</v>
      </c>
    </row>
    <row r="243" spans="1:27" x14ac:dyDescent="0.35">
      <c r="A243" t="s">
        <v>341</v>
      </c>
      <c r="B243" s="1">
        <v>45440</v>
      </c>
      <c r="C243">
        <v>2024</v>
      </c>
      <c r="D243">
        <v>5</v>
      </c>
      <c r="E243" t="s">
        <v>109</v>
      </c>
      <c r="F243" t="s">
        <v>41</v>
      </c>
      <c r="G243" t="s">
        <v>27</v>
      </c>
      <c r="H243" t="s">
        <v>73</v>
      </c>
      <c r="I243" t="s">
        <v>98</v>
      </c>
      <c r="J243" t="s">
        <v>30</v>
      </c>
      <c r="K243" t="s">
        <v>31</v>
      </c>
      <c r="L243" t="s">
        <v>55</v>
      </c>
      <c r="M243" t="s">
        <v>33</v>
      </c>
      <c r="N243">
        <v>0</v>
      </c>
      <c r="O243" t="s">
        <v>34</v>
      </c>
      <c r="P243" t="s">
        <v>35</v>
      </c>
      <c r="Q243" t="s">
        <v>48</v>
      </c>
      <c r="R243" t="s">
        <v>57</v>
      </c>
      <c r="S243" t="s">
        <v>38</v>
      </c>
      <c r="T243">
        <v>10</v>
      </c>
      <c r="U243">
        <v>72447</v>
      </c>
      <c r="V243">
        <v>0</v>
      </c>
      <c r="W243">
        <v>0</v>
      </c>
      <c r="X243">
        <v>0</v>
      </c>
      <c r="Y243">
        <f>IF(tbl_Incidents[[#This Row],[Lost_Time_Days]]&gt;0, 1, 0)</f>
        <v>0</v>
      </c>
      <c r="Z243" s="1">
        <f>DATE(tbl_Incidents[[#This Row],[Year]], tbl_Incidents[[#This Row],[Month]], 1)</f>
        <v>45413</v>
      </c>
      <c r="AA243" t="str">
        <f t="shared" si="3"/>
        <v>Thunderbird Mine|2024-05</v>
      </c>
    </row>
    <row r="244" spans="1:27" x14ac:dyDescent="0.35">
      <c r="A244" t="s">
        <v>342</v>
      </c>
      <c r="B244" s="1">
        <v>45341</v>
      </c>
      <c r="C244">
        <v>2024</v>
      </c>
      <c r="D244">
        <v>2</v>
      </c>
      <c r="E244" t="s">
        <v>52</v>
      </c>
      <c r="F244" t="s">
        <v>53</v>
      </c>
      <c r="G244" t="s">
        <v>105</v>
      </c>
      <c r="H244" t="s">
        <v>86</v>
      </c>
      <c r="I244" t="s">
        <v>54</v>
      </c>
      <c r="J244" t="s">
        <v>30</v>
      </c>
      <c r="K244" t="s">
        <v>31</v>
      </c>
      <c r="L244" t="s">
        <v>93</v>
      </c>
      <c r="M244" t="s">
        <v>46</v>
      </c>
      <c r="N244">
        <v>0</v>
      </c>
      <c r="O244" t="s">
        <v>75</v>
      </c>
      <c r="P244" t="s">
        <v>91</v>
      </c>
      <c r="Q244" t="s">
        <v>64</v>
      </c>
      <c r="R244" t="s">
        <v>49</v>
      </c>
      <c r="S244" t="s">
        <v>88</v>
      </c>
      <c r="T244">
        <v>8</v>
      </c>
      <c r="U244">
        <v>52202</v>
      </c>
      <c r="V244">
        <v>0</v>
      </c>
      <c r="W244">
        <v>0</v>
      </c>
      <c r="X244">
        <v>0</v>
      </c>
      <c r="Y244">
        <f>IF(tbl_Incidents[[#This Row],[Lost_Time_Days]]&gt;0, 1, 0)</f>
        <v>0</v>
      </c>
      <c r="Z244" s="1">
        <f>DATE(tbl_Incidents[[#This Row],[Year]], tbl_Incidents[[#This Row],[Month]], 1)</f>
        <v>45323</v>
      </c>
      <c r="AA244" t="str">
        <f t="shared" si="3"/>
        <v>Katherine Processing Site|2024-02</v>
      </c>
    </row>
    <row r="245" spans="1:27" x14ac:dyDescent="0.35">
      <c r="A245" t="s">
        <v>343</v>
      </c>
      <c r="B245" s="1">
        <v>44974</v>
      </c>
      <c r="C245">
        <v>2023</v>
      </c>
      <c r="D245">
        <v>2</v>
      </c>
      <c r="E245" t="s">
        <v>52</v>
      </c>
      <c r="F245" t="s">
        <v>53</v>
      </c>
      <c r="G245" t="s">
        <v>59</v>
      </c>
      <c r="H245" t="s">
        <v>28</v>
      </c>
      <c r="I245" t="s">
        <v>98</v>
      </c>
      <c r="J245" t="s">
        <v>30</v>
      </c>
      <c r="K245" t="s">
        <v>31</v>
      </c>
      <c r="L245" t="s">
        <v>80</v>
      </c>
      <c r="M245" t="s">
        <v>56</v>
      </c>
      <c r="N245">
        <v>0</v>
      </c>
      <c r="O245" t="s">
        <v>63</v>
      </c>
      <c r="P245" t="s">
        <v>91</v>
      </c>
      <c r="Q245" t="s">
        <v>76</v>
      </c>
      <c r="R245" t="s">
        <v>57</v>
      </c>
      <c r="S245" t="s">
        <v>38</v>
      </c>
      <c r="T245">
        <v>11</v>
      </c>
      <c r="U245">
        <v>86952</v>
      </c>
      <c r="V245">
        <v>0</v>
      </c>
      <c r="W245">
        <v>0</v>
      </c>
      <c r="X245">
        <v>0</v>
      </c>
      <c r="Y245">
        <f>IF(tbl_Incidents[[#This Row],[Lost_Time_Days]]&gt;0, 1, 0)</f>
        <v>0</v>
      </c>
      <c r="Z245" s="1">
        <f>DATE(tbl_Incidents[[#This Row],[Year]], tbl_Incidents[[#This Row],[Month]], 1)</f>
        <v>44958</v>
      </c>
      <c r="AA245" t="str">
        <f t="shared" si="3"/>
        <v>Pilbara Crusher Plant|2023-02</v>
      </c>
    </row>
    <row r="246" spans="1:27" x14ac:dyDescent="0.35">
      <c r="A246" t="s">
        <v>344</v>
      </c>
      <c r="B246" s="1">
        <v>45432</v>
      </c>
      <c r="C246">
        <v>2024</v>
      </c>
      <c r="D246">
        <v>5</v>
      </c>
      <c r="E246" t="s">
        <v>109</v>
      </c>
      <c r="F246" t="s">
        <v>41</v>
      </c>
      <c r="G246" t="s">
        <v>78</v>
      </c>
      <c r="H246" t="s">
        <v>86</v>
      </c>
      <c r="I246" t="s">
        <v>29</v>
      </c>
      <c r="J246" t="s">
        <v>30</v>
      </c>
      <c r="K246" t="s">
        <v>31</v>
      </c>
      <c r="L246" t="s">
        <v>100</v>
      </c>
      <c r="M246" t="s">
        <v>56</v>
      </c>
      <c r="N246">
        <v>0</v>
      </c>
      <c r="O246" t="s">
        <v>70</v>
      </c>
      <c r="P246" t="s">
        <v>35</v>
      </c>
      <c r="Q246" t="s">
        <v>64</v>
      </c>
      <c r="R246" t="s">
        <v>57</v>
      </c>
      <c r="S246" t="s">
        <v>38</v>
      </c>
      <c r="T246">
        <v>10</v>
      </c>
      <c r="U246">
        <v>84270</v>
      </c>
      <c r="V246">
        <v>0</v>
      </c>
      <c r="W246">
        <v>0</v>
      </c>
      <c r="X246">
        <v>0</v>
      </c>
      <c r="Y246">
        <f>IF(tbl_Incidents[[#This Row],[Lost_Time_Days]]&gt;0, 1, 0)</f>
        <v>0</v>
      </c>
      <c r="Z246" s="1">
        <f>DATE(tbl_Incidents[[#This Row],[Year]], tbl_Incidents[[#This Row],[Month]], 1)</f>
        <v>45413</v>
      </c>
      <c r="AA246" t="str">
        <f t="shared" si="3"/>
        <v>Broome Logistics Hub|2024-05</v>
      </c>
    </row>
    <row r="247" spans="1:27" x14ac:dyDescent="0.35">
      <c r="A247" t="s">
        <v>345</v>
      </c>
      <c r="B247" s="1">
        <v>44695</v>
      </c>
      <c r="C247">
        <v>2022</v>
      </c>
      <c r="D247">
        <v>5</v>
      </c>
      <c r="E247" t="s">
        <v>109</v>
      </c>
      <c r="F247" t="s">
        <v>41</v>
      </c>
      <c r="G247" t="s">
        <v>105</v>
      </c>
      <c r="H247" t="s">
        <v>120</v>
      </c>
      <c r="I247" t="s">
        <v>98</v>
      </c>
      <c r="J247" t="s">
        <v>30</v>
      </c>
      <c r="K247" t="s">
        <v>31</v>
      </c>
      <c r="L247" t="s">
        <v>45</v>
      </c>
      <c r="M247" t="s">
        <v>33</v>
      </c>
      <c r="N247">
        <v>0</v>
      </c>
      <c r="O247" t="s">
        <v>34</v>
      </c>
      <c r="P247" t="s">
        <v>47</v>
      </c>
      <c r="Q247" t="s">
        <v>36</v>
      </c>
      <c r="R247" t="s">
        <v>57</v>
      </c>
      <c r="S247" t="s">
        <v>38</v>
      </c>
      <c r="T247">
        <v>11</v>
      </c>
      <c r="U247">
        <v>99836</v>
      </c>
      <c r="V247">
        <v>0</v>
      </c>
      <c r="W247">
        <v>0</v>
      </c>
      <c r="X247">
        <v>0</v>
      </c>
      <c r="Y247">
        <f>IF(tbl_Incidents[[#This Row],[Lost_Time_Days]]&gt;0, 1, 0)</f>
        <v>0</v>
      </c>
      <c r="Z247" s="1">
        <f>DATE(tbl_Incidents[[#This Row],[Year]], tbl_Incidents[[#This Row],[Month]], 1)</f>
        <v>44682</v>
      </c>
      <c r="AA247" t="str">
        <f t="shared" si="3"/>
        <v>Katherine Processing Site|2022-05</v>
      </c>
    </row>
    <row r="248" spans="1:27" x14ac:dyDescent="0.35">
      <c r="A248" t="s">
        <v>346</v>
      </c>
      <c r="B248" s="1">
        <v>44562</v>
      </c>
      <c r="C248">
        <v>2022</v>
      </c>
      <c r="D248">
        <v>1</v>
      </c>
      <c r="E248" t="s">
        <v>129</v>
      </c>
      <c r="F248" t="s">
        <v>53</v>
      </c>
      <c r="G248" t="s">
        <v>42</v>
      </c>
      <c r="H248" t="s">
        <v>28</v>
      </c>
      <c r="I248" t="s">
        <v>110</v>
      </c>
      <c r="J248" t="s">
        <v>61</v>
      </c>
      <c r="K248" t="s">
        <v>62</v>
      </c>
      <c r="L248" t="s">
        <v>93</v>
      </c>
      <c r="M248" t="s">
        <v>56</v>
      </c>
      <c r="N248">
        <v>7</v>
      </c>
      <c r="O248" t="s">
        <v>34</v>
      </c>
      <c r="P248" t="s">
        <v>91</v>
      </c>
      <c r="Q248" t="s">
        <v>81</v>
      </c>
      <c r="R248" t="s">
        <v>57</v>
      </c>
      <c r="S248" t="s">
        <v>38</v>
      </c>
      <c r="T248">
        <v>9</v>
      </c>
      <c r="U248">
        <v>46787</v>
      </c>
      <c r="V248">
        <v>1</v>
      </c>
      <c r="W248">
        <v>0</v>
      </c>
      <c r="X248">
        <v>0</v>
      </c>
      <c r="Y248">
        <f>IF(tbl_Incidents[[#This Row],[Lost_Time_Days]]&gt;0, 1, 0)</f>
        <v>1</v>
      </c>
      <c r="Z248" s="1">
        <f>DATE(tbl_Incidents[[#This Row],[Year]], tbl_Incidents[[#This Row],[Month]], 1)</f>
        <v>44562</v>
      </c>
      <c r="AA248" t="str">
        <f t="shared" si="3"/>
        <v>Darwin Port Facility|2022-01</v>
      </c>
    </row>
    <row r="249" spans="1:27" x14ac:dyDescent="0.35">
      <c r="A249" t="s">
        <v>347</v>
      </c>
      <c r="B249" s="1">
        <v>44874</v>
      </c>
      <c r="C249">
        <v>2022</v>
      </c>
      <c r="D249">
        <v>11</v>
      </c>
      <c r="E249" t="s">
        <v>107</v>
      </c>
      <c r="F249" t="s">
        <v>26</v>
      </c>
      <c r="G249" t="s">
        <v>42</v>
      </c>
      <c r="H249" t="s">
        <v>86</v>
      </c>
      <c r="I249" t="s">
        <v>79</v>
      </c>
      <c r="J249" t="s">
        <v>30</v>
      </c>
      <c r="K249" t="s">
        <v>31</v>
      </c>
      <c r="L249" t="s">
        <v>74</v>
      </c>
      <c r="M249" t="s">
        <v>46</v>
      </c>
      <c r="N249">
        <v>0</v>
      </c>
      <c r="O249" t="s">
        <v>34</v>
      </c>
      <c r="P249" t="s">
        <v>35</v>
      </c>
      <c r="Q249" t="s">
        <v>48</v>
      </c>
      <c r="R249" t="s">
        <v>49</v>
      </c>
      <c r="S249" t="s">
        <v>38</v>
      </c>
      <c r="T249">
        <v>9</v>
      </c>
      <c r="U249">
        <v>117814</v>
      </c>
      <c r="V249">
        <v>0</v>
      </c>
      <c r="W249">
        <v>0</v>
      </c>
      <c r="X249">
        <v>0</v>
      </c>
      <c r="Y249">
        <f>IF(tbl_Incidents[[#This Row],[Lost_Time_Days]]&gt;0, 1, 0)</f>
        <v>0</v>
      </c>
      <c r="Z249" s="1">
        <f>DATE(tbl_Incidents[[#This Row],[Year]], tbl_Incidents[[#This Row],[Month]], 1)</f>
        <v>44866</v>
      </c>
      <c r="AA249" t="str">
        <f t="shared" si="3"/>
        <v>Darwin Port Facility|2022-11</v>
      </c>
    </row>
    <row r="250" spans="1:27" x14ac:dyDescent="0.35">
      <c r="A250" t="s">
        <v>348</v>
      </c>
      <c r="B250" s="1">
        <v>44793</v>
      </c>
      <c r="C250">
        <v>2022</v>
      </c>
      <c r="D250">
        <v>8</v>
      </c>
      <c r="E250" t="s">
        <v>66</v>
      </c>
      <c r="F250" t="s">
        <v>67</v>
      </c>
      <c r="G250" t="s">
        <v>105</v>
      </c>
      <c r="H250" t="s">
        <v>68</v>
      </c>
      <c r="I250" t="s">
        <v>98</v>
      </c>
      <c r="J250" t="s">
        <v>30</v>
      </c>
      <c r="K250" t="s">
        <v>31</v>
      </c>
      <c r="L250" t="s">
        <v>45</v>
      </c>
      <c r="M250" t="s">
        <v>46</v>
      </c>
      <c r="N250">
        <v>0</v>
      </c>
      <c r="O250" t="s">
        <v>34</v>
      </c>
      <c r="P250" t="s">
        <v>35</v>
      </c>
      <c r="Q250" t="s">
        <v>64</v>
      </c>
      <c r="R250" t="s">
        <v>57</v>
      </c>
      <c r="S250" t="s">
        <v>88</v>
      </c>
      <c r="T250">
        <v>8</v>
      </c>
      <c r="U250">
        <v>70008</v>
      </c>
      <c r="V250">
        <v>0</v>
      </c>
      <c r="W250">
        <v>0</v>
      </c>
      <c r="X250">
        <v>0</v>
      </c>
      <c r="Y250">
        <f>IF(tbl_Incidents[[#This Row],[Lost_Time_Days]]&gt;0, 1, 0)</f>
        <v>0</v>
      </c>
      <c r="Z250" s="1">
        <f>DATE(tbl_Incidents[[#This Row],[Year]], tbl_Incidents[[#This Row],[Month]], 1)</f>
        <v>44774</v>
      </c>
      <c r="AA250" t="str">
        <f t="shared" si="3"/>
        <v>Katherine Processing Site|2022-08</v>
      </c>
    </row>
    <row r="251" spans="1:27" x14ac:dyDescent="0.35">
      <c r="A251" t="s">
        <v>349</v>
      </c>
      <c r="B251" s="1">
        <v>44954</v>
      </c>
      <c r="C251">
        <v>2023</v>
      </c>
      <c r="D251">
        <v>1</v>
      </c>
      <c r="E251" t="s">
        <v>129</v>
      </c>
      <c r="F251" t="s">
        <v>53</v>
      </c>
      <c r="G251" t="s">
        <v>27</v>
      </c>
      <c r="H251" t="s">
        <v>68</v>
      </c>
      <c r="I251" t="s">
        <v>29</v>
      </c>
      <c r="J251" t="s">
        <v>30</v>
      </c>
      <c r="K251" t="s">
        <v>31</v>
      </c>
      <c r="L251" t="s">
        <v>80</v>
      </c>
      <c r="M251" t="s">
        <v>56</v>
      </c>
      <c r="N251">
        <v>0</v>
      </c>
      <c r="O251" t="s">
        <v>34</v>
      </c>
      <c r="P251" t="s">
        <v>35</v>
      </c>
      <c r="Q251" t="s">
        <v>64</v>
      </c>
      <c r="R251" t="s">
        <v>57</v>
      </c>
      <c r="S251" t="s">
        <v>38</v>
      </c>
      <c r="T251">
        <v>8</v>
      </c>
      <c r="U251">
        <v>109534</v>
      </c>
      <c r="V251">
        <v>0</v>
      </c>
      <c r="W251">
        <v>0</v>
      </c>
      <c r="X251">
        <v>0</v>
      </c>
      <c r="Y251">
        <f>IF(tbl_Incidents[[#This Row],[Lost_Time_Days]]&gt;0, 1, 0)</f>
        <v>0</v>
      </c>
      <c r="Z251" s="1">
        <f>DATE(tbl_Incidents[[#This Row],[Year]], tbl_Incidents[[#This Row],[Month]], 1)</f>
        <v>44927</v>
      </c>
      <c r="AA251" t="str">
        <f t="shared" si="3"/>
        <v>Thunderbird Mine|2023-01</v>
      </c>
    </row>
    <row r="252" spans="1:27" x14ac:dyDescent="0.35">
      <c r="A252" t="s">
        <v>350</v>
      </c>
      <c r="B252" s="1">
        <v>45186</v>
      </c>
      <c r="C252">
        <v>2023</v>
      </c>
      <c r="D252">
        <v>9</v>
      </c>
      <c r="E252" t="s">
        <v>97</v>
      </c>
      <c r="F252" t="s">
        <v>67</v>
      </c>
      <c r="G252" t="s">
        <v>42</v>
      </c>
      <c r="H252" t="s">
        <v>86</v>
      </c>
      <c r="I252" t="s">
        <v>79</v>
      </c>
      <c r="J252" t="s">
        <v>30</v>
      </c>
      <c r="K252" t="s">
        <v>31</v>
      </c>
      <c r="L252" t="s">
        <v>80</v>
      </c>
      <c r="M252" t="s">
        <v>46</v>
      </c>
      <c r="N252">
        <v>0</v>
      </c>
      <c r="O252" t="s">
        <v>34</v>
      </c>
      <c r="P252" t="s">
        <v>35</v>
      </c>
      <c r="Q252" t="s">
        <v>64</v>
      </c>
      <c r="R252" t="s">
        <v>37</v>
      </c>
      <c r="S252" t="s">
        <v>88</v>
      </c>
      <c r="T252">
        <v>9</v>
      </c>
      <c r="U252">
        <v>51362</v>
      </c>
      <c r="V252">
        <v>0</v>
      </c>
      <c r="W252">
        <v>0</v>
      </c>
      <c r="X252">
        <v>0</v>
      </c>
      <c r="Y252">
        <f>IF(tbl_Incidents[[#This Row],[Lost_Time_Days]]&gt;0, 1, 0)</f>
        <v>0</v>
      </c>
      <c r="Z252" s="1">
        <f>DATE(tbl_Incidents[[#This Row],[Year]], tbl_Incidents[[#This Row],[Month]], 1)</f>
        <v>45170</v>
      </c>
      <c r="AA252" t="str">
        <f t="shared" si="3"/>
        <v>Darwin Port Facility|2023-09</v>
      </c>
    </row>
    <row r="253" spans="1:27" x14ac:dyDescent="0.35">
      <c r="A253" t="s">
        <v>351</v>
      </c>
      <c r="B253" s="1">
        <v>44664</v>
      </c>
      <c r="C253">
        <v>2022</v>
      </c>
      <c r="D253">
        <v>4</v>
      </c>
      <c r="E253" t="s">
        <v>40</v>
      </c>
      <c r="F253" t="s">
        <v>41</v>
      </c>
      <c r="G253" t="s">
        <v>27</v>
      </c>
      <c r="H253" t="s">
        <v>43</v>
      </c>
      <c r="I253" t="s">
        <v>44</v>
      </c>
      <c r="J253" t="s">
        <v>30</v>
      </c>
      <c r="K253" t="s">
        <v>139</v>
      </c>
      <c r="L253" t="s">
        <v>80</v>
      </c>
      <c r="M253" t="s">
        <v>56</v>
      </c>
      <c r="N253">
        <v>0</v>
      </c>
      <c r="O253" t="s">
        <v>34</v>
      </c>
      <c r="P253" t="s">
        <v>35</v>
      </c>
      <c r="Q253" t="s">
        <v>48</v>
      </c>
      <c r="R253" t="s">
        <v>57</v>
      </c>
      <c r="S253" t="s">
        <v>38</v>
      </c>
      <c r="T253">
        <v>9</v>
      </c>
      <c r="U253">
        <v>112534</v>
      </c>
      <c r="V253">
        <v>0</v>
      </c>
      <c r="W253">
        <v>0</v>
      </c>
      <c r="X253">
        <v>0</v>
      </c>
      <c r="Y253">
        <f>IF(tbl_Incidents[[#This Row],[Lost_Time_Days]]&gt;0, 1, 0)</f>
        <v>0</v>
      </c>
      <c r="Z253" s="1">
        <f>DATE(tbl_Incidents[[#This Row],[Year]], tbl_Incidents[[#This Row],[Month]], 1)</f>
        <v>44652</v>
      </c>
      <c r="AA253" t="str">
        <f t="shared" si="3"/>
        <v>Thunderbird Mine|2022-04</v>
      </c>
    </row>
    <row r="254" spans="1:27" x14ac:dyDescent="0.35">
      <c r="A254" t="s">
        <v>352</v>
      </c>
      <c r="B254" s="1">
        <v>45177</v>
      </c>
      <c r="C254">
        <v>2023</v>
      </c>
      <c r="D254">
        <v>9</v>
      </c>
      <c r="E254" t="s">
        <v>97</v>
      </c>
      <c r="F254" t="s">
        <v>67</v>
      </c>
      <c r="G254" t="s">
        <v>78</v>
      </c>
      <c r="H254" t="s">
        <v>120</v>
      </c>
      <c r="I254" t="s">
        <v>98</v>
      </c>
      <c r="J254" t="s">
        <v>30</v>
      </c>
      <c r="K254" t="s">
        <v>31</v>
      </c>
      <c r="L254" t="s">
        <v>45</v>
      </c>
      <c r="M254" t="s">
        <v>46</v>
      </c>
      <c r="N254">
        <v>0</v>
      </c>
      <c r="O254" t="s">
        <v>34</v>
      </c>
      <c r="P254" t="s">
        <v>35</v>
      </c>
      <c r="Q254" t="s">
        <v>76</v>
      </c>
      <c r="R254" t="s">
        <v>37</v>
      </c>
      <c r="S254" t="s">
        <v>50</v>
      </c>
      <c r="T254">
        <v>9</v>
      </c>
      <c r="U254">
        <v>91347</v>
      </c>
      <c r="V254">
        <v>0</v>
      </c>
      <c r="W254">
        <v>0</v>
      </c>
      <c r="X254">
        <v>0</v>
      </c>
      <c r="Y254">
        <f>IF(tbl_Incidents[[#This Row],[Lost_Time_Days]]&gt;0, 1, 0)</f>
        <v>0</v>
      </c>
      <c r="Z254" s="1">
        <f>DATE(tbl_Incidents[[#This Row],[Year]], tbl_Incidents[[#This Row],[Month]], 1)</f>
        <v>45170</v>
      </c>
      <c r="AA254" t="str">
        <f t="shared" si="3"/>
        <v>Broome Logistics Hub|2023-09</v>
      </c>
    </row>
    <row r="255" spans="1:27" x14ac:dyDescent="0.35">
      <c r="A255" t="s">
        <v>353</v>
      </c>
      <c r="B255" s="1">
        <v>44864</v>
      </c>
      <c r="C255">
        <v>2022</v>
      </c>
      <c r="D255">
        <v>10</v>
      </c>
      <c r="E255" t="s">
        <v>25</v>
      </c>
      <c r="F255" t="s">
        <v>26</v>
      </c>
      <c r="G255" t="s">
        <v>27</v>
      </c>
      <c r="H255" t="s">
        <v>73</v>
      </c>
      <c r="I255" t="s">
        <v>79</v>
      </c>
      <c r="J255" t="s">
        <v>30</v>
      </c>
      <c r="K255" t="s">
        <v>31</v>
      </c>
      <c r="L255" t="s">
        <v>83</v>
      </c>
      <c r="M255" t="s">
        <v>56</v>
      </c>
      <c r="N255">
        <v>0</v>
      </c>
      <c r="O255" t="s">
        <v>34</v>
      </c>
      <c r="P255" t="s">
        <v>35</v>
      </c>
      <c r="Q255" t="s">
        <v>64</v>
      </c>
      <c r="R255" t="s">
        <v>37</v>
      </c>
      <c r="S255" t="s">
        <v>38</v>
      </c>
      <c r="T255">
        <v>12</v>
      </c>
      <c r="U255">
        <v>41581</v>
      </c>
      <c r="V255">
        <v>0</v>
      </c>
      <c r="W255">
        <v>0</v>
      </c>
      <c r="X255">
        <v>0</v>
      </c>
      <c r="Y255">
        <f>IF(tbl_Incidents[[#This Row],[Lost_Time_Days]]&gt;0, 1, 0)</f>
        <v>0</v>
      </c>
      <c r="Z255" s="1">
        <f>DATE(tbl_Incidents[[#This Row],[Year]], tbl_Incidents[[#This Row],[Month]], 1)</f>
        <v>44835</v>
      </c>
      <c r="AA255" t="str">
        <f t="shared" si="3"/>
        <v>Thunderbird Mine|2022-10</v>
      </c>
    </row>
    <row r="256" spans="1:27" x14ac:dyDescent="0.35">
      <c r="A256" t="s">
        <v>354</v>
      </c>
      <c r="B256" s="1">
        <v>44931</v>
      </c>
      <c r="C256">
        <v>2023</v>
      </c>
      <c r="D256">
        <v>1</v>
      </c>
      <c r="E256" t="s">
        <v>129</v>
      </c>
      <c r="F256" t="s">
        <v>53</v>
      </c>
      <c r="G256" t="s">
        <v>42</v>
      </c>
      <c r="H256" t="s">
        <v>86</v>
      </c>
      <c r="I256" t="s">
        <v>60</v>
      </c>
      <c r="J256" t="s">
        <v>61</v>
      </c>
      <c r="K256" t="s">
        <v>31</v>
      </c>
      <c r="L256" t="s">
        <v>55</v>
      </c>
      <c r="M256" t="s">
        <v>56</v>
      </c>
      <c r="N256">
        <v>0</v>
      </c>
      <c r="O256" t="s">
        <v>90</v>
      </c>
      <c r="P256" t="s">
        <v>35</v>
      </c>
      <c r="Q256" t="s">
        <v>64</v>
      </c>
      <c r="R256" t="s">
        <v>57</v>
      </c>
      <c r="S256" t="s">
        <v>38</v>
      </c>
      <c r="T256">
        <v>12</v>
      </c>
      <c r="U256">
        <v>48851</v>
      </c>
      <c r="V256">
        <v>1</v>
      </c>
      <c r="W256">
        <v>0</v>
      </c>
      <c r="X256">
        <v>0</v>
      </c>
      <c r="Y256">
        <f>IF(tbl_Incidents[[#This Row],[Lost_Time_Days]]&gt;0, 1, 0)</f>
        <v>0</v>
      </c>
      <c r="Z256" s="1">
        <f>DATE(tbl_Incidents[[#This Row],[Year]], tbl_Incidents[[#This Row],[Month]], 1)</f>
        <v>44927</v>
      </c>
      <c r="AA256" t="str">
        <f t="shared" si="3"/>
        <v>Darwin Port Facility|2023-01</v>
      </c>
    </row>
    <row r="257" spans="1:27" x14ac:dyDescent="0.35">
      <c r="A257" t="s">
        <v>355</v>
      </c>
      <c r="B257" s="1">
        <v>44576</v>
      </c>
      <c r="C257">
        <v>2022</v>
      </c>
      <c r="D257">
        <v>1</v>
      </c>
      <c r="E257" t="s">
        <v>129</v>
      </c>
      <c r="F257" t="s">
        <v>53</v>
      </c>
      <c r="G257" t="s">
        <v>42</v>
      </c>
      <c r="H257" t="s">
        <v>68</v>
      </c>
      <c r="I257" t="s">
        <v>60</v>
      </c>
      <c r="J257" t="s">
        <v>61</v>
      </c>
      <c r="K257" t="s">
        <v>147</v>
      </c>
      <c r="L257" t="s">
        <v>55</v>
      </c>
      <c r="M257" t="s">
        <v>46</v>
      </c>
      <c r="N257">
        <v>0</v>
      </c>
      <c r="O257" t="s">
        <v>34</v>
      </c>
      <c r="P257" t="s">
        <v>47</v>
      </c>
      <c r="Q257" t="s">
        <v>64</v>
      </c>
      <c r="R257" t="s">
        <v>49</v>
      </c>
      <c r="S257" t="s">
        <v>38</v>
      </c>
      <c r="T257">
        <v>12</v>
      </c>
      <c r="U257">
        <v>110471</v>
      </c>
      <c r="V257">
        <v>1</v>
      </c>
      <c r="W257">
        <v>0</v>
      </c>
      <c r="X257">
        <v>0</v>
      </c>
      <c r="Y257">
        <f>IF(tbl_Incidents[[#This Row],[Lost_Time_Days]]&gt;0, 1, 0)</f>
        <v>0</v>
      </c>
      <c r="Z257" s="1">
        <f>DATE(tbl_Incidents[[#This Row],[Year]], tbl_Incidents[[#This Row],[Month]], 1)</f>
        <v>44562</v>
      </c>
      <c r="AA257" t="str">
        <f t="shared" si="3"/>
        <v>Darwin Port Facility|2022-01</v>
      </c>
    </row>
    <row r="258" spans="1:27" x14ac:dyDescent="0.35">
      <c r="A258" t="s">
        <v>356</v>
      </c>
      <c r="B258" s="1">
        <v>45192</v>
      </c>
      <c r="C258">
        <v>2023</v>
      </c>
      <c r="D258">
        <v>9</v>
      </c>
      <c r="E258" t="s">
        <v>97</v>
      </c>
      <c r="F258" t="s">
        <v>67</v>
      </c>
      <c r="G258" t="s">
        <v>59</v>
      </c>
      <c r="H258" t="s">
        <v>68</v>
      </c>
      <c r="I258" t="s">
        <v>44</v>
      </c>
      <c r="J258" t="s">
        <v>30</v>
      </c>
      <c r="K258" t="s">
        <v>62</v>
      </c>
      <c r="L258" t="s">
        <v>74</v>
      </c>
      <c r="M258" t="s">
        <v>46</v>
      </c>
      <c r="N258">
        <v>0</v>
      </c>
      <c r="O258" t="s">
        <v>34</v>
      </c>
      <c r="P258" t="s">
        <v>35</v>
      </c>
      <c r="Q258" t="s">
        <v>76</v>
      </c>
      <c r="R258" t="s">
        <v>57</v>
      </c>
      <c r="S258" t="s">
        <v>88</v>
      </c>
      <c r="T258">
        <v>12</v>
      </c>
      <c r="U258">
        <v>48665</v>
      </c>
      <c r="V258">
        <v>0</v>
      </c>
      <c r="W258">
        <v>0</v>
      </c>
      <c r="X258">
        <v>0</v>
      </c>
      <c r="Y258">
        <f>IF(tbl_Incidents[[#This Row],[Lost_Time_Days]]&gt;0, 1, 0)</f>
        <v>0</v>
      </c>
      <c r="Z258" s="1">
        <f>DATE(tbl_Incidents[[#This Row],[Year]], tbl_Incidents[[#This Row],[Month]], 1)</f>
        <v>45170</v>
      </c>
      <c r="AA258" t="str">
        <f t="shared" ref="AA258:AA321" si="4">G258&amp;"|"&amp;TEXT(Z258,"yyyy-mm")</f>
        <v>Pilbara Crusher Plant|2023-09</v>
      </c>
    </row>
    <row r="259" spans="1:27" x14ac:dyDescent="0.35">
      <c r="A259" t="s">
        <v>357</v>
      </c>
      <c r="B259" s="1">
        <v>44879</v>
      </c>
      <c r="C259">
        <v>2022</v>
      </c>
      <c r="D259">
        <v>11</v>
      </c>
      <c r="E259" t="s">
        <v>107</v>
      </c>
      <c r="F259" t="s">
        <v>26</v>
      </c>
      <c r="G259" t="s">
        <v>105</v>
      </c>
      <c r="H259" t="s">
        <v>28</v>
      </c>
      <c r="I259" t="s">
        <v>79</v>
      </c>
      <c r="J259" t="s">
        <v>30</v>
      </c>
      <c r="K259" t="s">
        <v>31</v>
      </c>
      <c r="L259" t="s">
        <v>100</v>
      </c>
      <c r="M259" t="s">
        <v>33</v>
      </c>
      <c r="N259">
        <v>0</v>
      </c>
      <c r="O259" t="s">
        <v>34</v>
      </c>
      <c r="P259" t="s">
        <v>35</v>
      </c>
      <c r="Q259" t="s">
        <v>64</v>
      </c>
      <c r="R259" t="s">
        <v>57</v>
      </c>
      <c r="S259" t="s">
        <v>88</v>
      </c>
      <c r="T259">
        <v>12</v>
      </c>
      <c r="U259">
        <v>119800</v>
      </c>
      <c r="V259">
        <v>0</v>
      </c>
      <c r="W259">
        <v>0</v>
      </c>
      <c r="X259">
        <v>0</v>
      </c>
      <c r="Y259">
        <f>IF(tbl_Incidents[[#This Row],[Lost_Time_Days]]&gt;0, 1, 0)</f>
        <v>0</v>
      </c>
      <c r="Z259" s="1">
        <f>DATE(tbl_Incidents[[#This Row],[Year]], tbl_Incidents[[#This Row],[Month]], 1)</f>
        <v>44866</v>
      </c>
      <c r="AA259" t="str">
        <f t="shared" si="4"/>
        <v>Katherine Processing Site|2022-11</v>
      </c>
    </row>
    <row r="260" spans="1:27" x14ac:dyDescent="0.35">
      <c r="A260" t="s">
        <v>358</v>
      </c>
      <c r="B260" s="1">
        <v>44618</v>
      </c>
      <c r="C260">
        <v>2022</v>
      </c>
      <c r="D260">
        <v>2</v>
      </c>
      <c r="E260" t="s">
        <v>52</v>
      </c>
      <c r="F260" t="s">
        <v>53</v>
      </c>
      <c r="G260" t="s">
        <v>42</v>
      </c>
      <c r="H260" t="s">
        <v>68</v>
      </c>
      <c r="I260" t="s">
        <v>60</v>
      </c>
      <c r="J260" t="s">
        <v>61</v>
      </c>
      <c r="K260" t="s">
        <v>147</v>
      </c>
      <c r="L260" t="s">
        <v>93</v>
      </c>
      <c r="M260" t="s">
        <v>46</v>
      </c>
      <c r="N260">
        <v>0</v>
      </c>
      <c r="O260" t="s">
        <v>34</v>
      </c>
      <c r="P260" t="s">
        <v>35</v>
      </c>
      <c r="Q260" t="s">
        <v>64</v>
      </c>
      <c r="R260" t="s">
        <v>57</v>
      </c>
      <c r="S260" t="s">
        <v>50</v>
      </c>
      <c r="T260">
        <v>12</v>
      </c>
      <c r="U260">
        <v>73980</v>
      </c>
      <c r="V260">
        <v>1</v>
      </c>
      <c r="W260">
        <v>0</v>
      </c>
      <c r="X260">
        <v>0</v>
      </c>
      <c r="Y260">
        <f>IF(tbl_Incidents[[#This Row],[Lost_Time_Days]]&gt;0, 1, 0)</f>
        <v>0</v>
      </c>
      <c r="Z260" s="1">
        <f>DATE(tbl_Incidents[[#This Row],[Year]], tbl_Incidents[[#This Row],[Month]], 1)</f>
        <v>44593</v>
      </c>
      <c r="AA260" t="str">
        <f t="shared" si="4"/>
        <v>Darwin Port Facility|2022-02</v>
      </c>
    </row>
    <row r="261" spans="1:27" x14ac:dyDescent="0.35">
      <c r="A261" t="s">
        <v>359</v>
      </c>
      <c r="B261" s="1">
        <v>44732</v>
      </c>
      <c r="C261">
        <v>2022</v>
      </c>
      <c r="D261">
        <v>6</v>
      </c>
      <c r="E261" t="s">
        <v>72</v>
      </c>
      <c r="F261" t="s">
        <v>41</v>
      </c>
      <c r="G261" t="s">
        <v>42</v>
      </c>
      <c r="H261" t="s">
        <v>28</v>
      </c>
      <c r="I261" t="s">
        <v>60</v>
      </c>
      <c r="J261" t="s">
        <v>61</v>
      </c>
      <c r="K261" t="s">
        <v>62</v>
      </c>
      <c r="L261" t="s">
        <v>74</v>
      </c>
      <c r="M261" t="s">
        <v>33</v>
      </c>
      <c r="N261">
        <v>0</v>
      </c>
      <c r="O261" t="s">
        <v>34</v>
      </c>
      <c r="P261" t="s">
        <v>47</v>
      </c>
      <c r="Q261" t="s">
        <v>81</v>
      </c>
      <c r="R261" t="s">
        <v>37</v>
      </c>
      <c r="S261" t="s">
        <v>38</v>
      </c>
      <c r="T261">
        <v>10</v>
      </c>
      <c r="U261">
        <v>115582</v>
      </c>
      <c r="V261">
        <v>1</v>
      </c>
      <c r="W261">
        <v>0</v>
      </c>
      <c r="X261">
        <v>0</v>
      </c>
      <c r="Y261">
        <f>IF(tbl_Incidents[[#This Row],[Lost_Time_Days]]&gt;0, 1, 0)</f>
        <v>0</v>
      </c>
      <c r="Z261" s="1">
        <f>DATE(tbl_Incidents[[#This Row],[Year]], tbl_Incidents[[#This Row],[Month]], 1)</f>
        <v>44713</v>
      </c>
      <c r="AA261" t="str">
        <f t="shared" si="4"/>
        <v>Darwin Port Facility|2022-06</v>
      </c>
    </row>
    <row r="262" spans="1:27" x14ac:dyDescent="0.35">
      <c r="A262" t="s">
        <v>360</v>
      </c>
      <c r="B262" s="1">
        <v>45204</v>
      </c>
      <c r="C262">
        <v>2023</v>
      </c>
      <c r="D262">
        <v>10</v>
      </c>
      <c r="E262" t="s">
        <v>25</v>
      </c>
      <c r="F262" t="s">
        <v>26</v>
      </c>
      <c r="G262" t="s">
        <v>105</v>
      </c>
      <c r="H262" t="s">
        <v>86</v>
      </c>
      <c r="I262" t="s">
        <v>29</v>
      </c>
      <c r="J262" t="s">
        <v>30</v>
      </c>
      <c r="K262" t="s">
        <v>31</v>
      </c>
      <c r="L262" t="s">
        <v>103</v>
      </c>
      <c r="M262" t="s">
        <v>56</v>
      </c>
      <c r="N262">
        <v>0</v>
      </c>
      <c r="O262" t="s">
        <v>34</v>
      </c>
      <c r="P262" t="s">
        <v>47</v>
      </c>
      <c r="Q262" t="s">
        <v>76</v>
      </c>
      <c r="R262" t="s">
        <v>57</v>
      </c>
      <c r="S262" t="s">
        <v>38</v>
      </c>
      <c r="T262">
        <v>9</v>
      </c>
      <c r="U262">
        <v>73438</v>
      </c>
      <c r="V262">
        <v>0</v>
      </c>
      <c r="W262">
        <v>0</v>
      </c>
      <c r="X262">
        <v>1</v>
      </c>
      <c r="Y262">
        <f>IF(tbl_Incidents[[#This Row],[Lost_Time_Days]]&gt;0, 1, 0)</f>
        <v>0</v>
      </c>
      <c r="Z262" s="1">
        <f>DATE(tbl_Incidents[[#This Row],[Year]], tbl_Incidents[[#This Row],[Month]], 1)</f>
        <v>45200</v>
      </c>
      <c r="AA262" t="str">
        <f t="shared" si="4"/>
        <v>Katherine Processing Site|2023-10</v>
      </c>
    </row>
    <row r="263" spans="1:27" x14ac:dyDescent="0.35">
      <c r="A263" t="s">
        <v>361</v>
      </c>
      <c r="B263" s="1">
        <v>45149</v>
      </c>
      <c r="C263">
        <v>2023</v>
      </c>
      <c r="D263">
        <v>8</v>
      </c>
      <c r="E263" t="s">
        <v>66</v>
      </c>
      <c r="F263" t="s">
        <v>67</v>
      </c>
      <c r="G263" t="s">
        <v>27</v>
      </c>
      <c r="H263" t="s">
        <v>73</v>
      </c>
      <c r="I263" t="s">
        <v>79</v>
      </c>
      <c r="J263" t="s">
        <v>30</v>
      </c>
      <c r="K263" t="s">
        <v>31</v>
      </c>
      <c r="L263" t="s">
        <v>103</v>
      </c>
      <c r="M263" t="s">
        <v>33</v>
      </c>
      <c r="N263">
        <v>0</v>
      </c>
      <c r="O263" t="s">
        <v>34</v>
      </c>
      <c r="P263" t="s">
        <v>35</v>
      </c>
      <c r="Q263" t="s">
        <v>48</v>
      </c>
      <c r="R263" t="s">
        <v>57</v>
      </c>
      <c r="S263" t="s">
        <v>88</v>
      </c>
      <c r="T263">
        <v>10</v>
      </c>
      <c r="U263">
        <v>90197</v>
      </c>
      <c r="V263">
        <v>0</v>
      </c>
      <c r="W263">
        <v>0</v>
      </c>
      <c r="X263">
        <v>0</v>
      </c>
      <c r="Y263">
        <f>IF(tbl_Incidents[[#This Row],[Lost_Time_Days]]&gt;0, 1, 0)</f>
        <v>0</v>
      </c>
      <c r="Z263" s="1">
        <f>DATE(tbl_Incidents[[#This Row],[Year]], tbl_Incidents[[#This Row],[Month]], 1)</f>
        <v>45139</v>
      </c>
      <c r="AA263" t="str">
        <f t="shared" si="4"/>
        <v>Thunderbird Mine|2023-08</v>
      </c>
    </row>
    <row r="264" spans="1:27" x14ac:dyDescent="0.35">
      <c r="A264" t="s">
        <v>362</v>
      </c>
      <c r="B264" s="1">
        <v>44715</v>
      </c>
      <c r="C264">
        <v>2022</v>
      </c>
      <c r="D264">
        <v>6</v>
      </c>
      <c r="E264" t="s">
        <v>72</v>
      </c>
      <c r="F264" t="s">
        <v>41</v>
      </c>
      <c r="G264" t="s">
        <v>27</v>
      </c>
      <c r="H264" t="s">
        <v>43</v>
      </c>
      <c r="I264" t="s">
        <v>44</v>
      </c>
      <c r="J264" t="s">
        <v>30</v>
      </c>
      <c r="K264" t="s">
        <v>139</v>
      </c>
      <c r="L264" t="s">
        <v>100</v>
      </c>
      <c r="M264" t="s">
        <v>56</v>
      </c>
      <c r="N264">
        <v>0</v>
      </c>
      <c r="O264" t="s">
        <v>34</v>
      </c>
      <c r="P264" t="s">
        <v>47</v>
      </c>
      <c r="Q264" t="s">
        <v>81</v>
      </c>
      <c r="R264" t="s">
        <v>57</v>
      </c>
      <c r="S264" t="s">
        <v>38</v>
      </c>
      <c r="T264">
        <v>12</v>
      </c>
      <c r="U264">
        <v>88864</v>
      </c>
      <c r="V264">
        <v>0</v>
      </c>
      <c r="W264">
        <v>0</v>
      </c>
      <c r="X264">
        <v>0</v>
      </c>
      <c r="Y264">
        <f>IF(tbl_Incidents[[#This Row],[Lost_Time_Days]]&gt;0, 1, 0)</f>
        <v>0</v>
      </c>
      <c r="Z264" s="1">
        <f>DATE(tbl_Incidents[[#This Row],[Year]], tbl_Incidents[[#This Row],[Month]], 1)</f>
        <v>44713</v>
      </c>
      <c r="AA264" t="str">
        <f t="shared" si="4"/>
        <v>Thunderbird Mine|2022-06</v>
      </c>
    </row>
    <row r="265" spans="1:27" x14ac:dyDescent="0.35">
      <c r="A265" t="s">
        <v>363</v>
      </c>
      <c r="B265" s="1">
        <v>44684</v>
      </c>
      <c r="C265">
        <v>2022</v>
      </c>
      <c r="D265">
        <v>5</v>
      </c>
      <c r="E265" t="s">
        <v>109</v>
      </c>
      <c r="F265" t="s">
        <v>41</v>
      </c>
      <c r="G265" t="s">
        <v>27</v>
      </c>
      <c r="H265" t="s">
        <v>73</v>
      </c>
      <c r="I265" t="s">
        <v>98</v>
      </c>
      <c r="J265" t="s">
        <v>30</v>
      </c>
      <c r="K265" t="s">
        <v>31</v>
      </c>
      <c r="L265" t="s">
        <v>100</v>
      </c>
      <c r="M265" t="s">
        <v>46</v>
      </c>
      <c r="N265">
        <v>0</v>
      </c>
      <c r="O265" t="s">
        <v>34</v>
      </c>
      <c r="P265" t="s">
        <v>47</v>
      </c>
      <c r="Q265" t="s">
        <v>36</v>
      </c>
      <c r="R265" t="s">
        <v>49</v>
      </c>
      <c r="S265" t="s">
        <v>38</v>
      </c>
      <c r="T265">
        <v>10</v>
      </c>
      <c r="U265">
        <v>82899</v>
      </c>
      <c r="V265">
        <v>0</v>
      </c>
      <c r="W265">
        <v>0</v>
      </c>
      <c r="X265">
        <v>0</v>
      </c>
      <c r="Y265">
        <f>IF(tbl_Incidents[[#This Row],[Lost_Time_Days]]&gt;0, 1, 0)</f>
        <v>0</v>
      </c>
      <c r="Z265" s="1">
        <f>DATE(tbl_Incidents[[#This Row],[Year]], tbl_Incidents[[#This Row],[Month]], 1)</f>
        <v>44682</v>
      </c>
      <c r="AA265" t="str">
        <f t="shared" si="4"/>
        <v>Thunderbird Mine|2022-05</v>
      </c>
    </row>
    <row r="266" spans="1:27" x14ac:dyDescent="0.35">
      <c r="A266" t="s">
        <v>364</v>
      </c>
      <c r="B266" s="1">
        <v>44650</v>
      </c>
      <c r="C266">
        <v>2022</v>
      </c>
      <c r="D266">
        <v>3</v>
      </c>
      <c r="E266" t="s">
        <v>125</v>
      </c>
      <c r="F266" t="s">
        <v>53</v>
      </c>
      <c r="G266" t="s">
        <v>105</v>
      </c>
      <c r="H266" t="s">
        <v>68</v>
      </c>
      <c r="I266" t="s">
        <v>98</v>
      </c>
      <c r="J266" t="s">
        <v>30</v>
      </c>
      <c r="K266" t="s">
        <v>31</v>
      </c>
      <c r="L266" t="s">
        <v>80</v>
      </c>
      <c r="M266" t="s">
        <v>33</v>
      </c>
      <c r="N266">
        <v>0</v>
      </c>
      <c r="O266" t="s">
        <v>34</v>
      </c>
      <c r="P266" t="s">
        <v>91</v>
      </c>
      <c r="Q266" t="s">
        <v>76</v>
      </c>
      <c r="R266" t="s">
        <v>57</v>
      </c>
      <c r="S266" t="s">
        <v>88</v>
      </c>
      <c r="T266">
        <v>10</v>
      </c>
      <c r="U266">
        <v>117554</v>
      </c>
      <c r="V266">
        <v>0</v>
      </c>
      <c r="W266">
        <v>0</v>
      </c>
      <c r="X266">
        <v>0</v>
      </c>
      <c r="Y266">
        <f>IF(tbl_Incidents[[#This Row],[Lost_Time_Days]]&gt;0, 1, 0)</f>
        <v>0</v>
      </c>
      <c r="Z266" s="1">
        <f>DATE(tbl_Incidents[[#This Row],[Year]], tbl_Incidents[[#This Row],[Month]], 1)</f>
        <v>44621</v>
      </c>
      <c r="AA266" t="str">
        <f t="shared" si="4"/>
        <v>Katherine Processing Site|2022-03</v>
      </c>
    </row>
    <row r="267" spans="1:27" x14ac:dyDescent="0.35">
      <c r="A267" t="s">
        <v>365</v>
      </c>
      <c r="B267" s="1">
        <v>45067</v>
      </c>
      <c r="C267">
        <v>2023</v>
      </c>
      <c r="D267">
        <v>5</v>
      </c>
      <c r="E267" t="s">
        <v>109</v>
      </c>
      <c r="F267" t="s">
        <v>41</v>
      </c>
      <c r="G267" t="s">
        <v>42</v>
      </c>
      <c r="H267" t="s">
        <v>28</v>
      </c>
      <c r="I267" t="s">
        <v>54</v>
      </c>
      <c r="J267" t="s">
        <v>30</v>
      </c>
      <c r="K267" t="s">
        <v>31</v>
      </c>
      <c r="L267" t="s">
        <v>103</v>
      </c>
      <c r="M267" t="s">
        <v>33</v>
      </c>
      <c r="N267">
        <v>0</v>
      </c>
      <c r="O267" t="s">
        <v>34</v>
      </c>
      <c r="P267" t="s">
        <v>35</v>
      </c>
      <c r="Q267" t="s">
        <v>64</v>
      </c>
      <c r="R267" t="s">
        <v>57</v>
      </c>
      <c r="S267" t="s">
        <v>38</v>
      </c>
      <c r="T267">
        <v>12</v>
      </c>
      <c r="U267">
        <v>85406</v>
      </c>
      <c r="V267">
        <v>0</v>
      </c>
      <c r="W267">
        <v>0</v>
      </c>
      <c r="X267">
        <v>0</v>
      </c>
      <c r="Y267">
        <f>IF(tbl_Incidents[[#This Row],[Lost_Time_Days]]&gt;0, 1, 0)</f>
        <v>0</v>
      </c>
      <c r="Z267" s="1">
        <f>DATE(tbl_Incidents[[#This Row],[Year]], tbl_Incidents[[#This Row],[Month]], 1)</f>
        <v>45047</v>
      </c>
      <c r="AA267" t="str">
        <f t="shared" si="4"/>
        <v>Darwin Port Facility|2023-05</v>
      </c>
    </row>
    <row r="268" spans="1:27" x14ac:dyDescent="0.35">
      <c r="A268" t="s">
        <v>366</v>
      </c>
      <c r="B268" s="1">
        <v>45213</v>
      </c>
      <c r="C268">
        <v>2023</v>
      </c>
      <c r="D268">
        <v>10</v>
      </c>
      <c r="E268" t="s">
        <v>25</v>
      </c>
      <c r="F268" t="s">
        <v>26</v>
      </c>
      <c r="G268" t="s">
        <v>27</v>
      </c>
      <c r="H268" t="s">
        <v>120</v>
      </c>
      <c r="I268" t="s">
        <v>54</v>
      </c>
      <c r="J268" t="s">
        <v>30</v>
      </c>
      <c r="K268" t="s">
        <v>31</v>
      </c>
      <c r="L268" t="s">
        <v>45</v>
      </c>
      <c r="M268" t="s">
        <v>46</v>
      </c>
      <c r="N268">
        <v>0</v>
      </c>
      <c r="O268" t="s">
        <v>63</v>
      </c>
      <c r="P268" t="s">
        <v>91</v>
      </c>
      <c r="Q268" t="s">
        <v>36</v>
      </c>
      <c r="R268" t="s">
        <v>57</v>
      </c>
      <c r="S268" t="s">
        <v>50</v>
      </c>
      <c r="T268">
        <v>9</v>
      </c>
      <c r="U268">
        <v>95026</v>
      </c>
      <c r="V268">
        <v>0</v>
      </c>
      <c r="W268">
        <v>0</v>
      </c>
      <c r="X268">
        <v>0</v>
      </c>
      <c r="Y268">
        <f>IF(tbl_Incidents[[#This Row],[Lost_Time_Days]]&gt;0, 1, 0)</f>
        <v>0</v>
      </c>
      <c r="Z268" s="1">
        <f>DATE(tbl_Incidents[[#This Row],[Year]], tbl_Incidents[[#This Row],[Month]], 1)</f>
        <v>45200</v>
      </c>
      <c r="AA268" t="str">
        <f t="shared" si="4"/>
        <v>Thunderbird Mine|2023-10</v>
      </c>
    </row>
    <row r="269" spans="1:27" x14ac:dyDescent="0.35">
      <c r="A269" t="s">
        <v>367</v>
      </c>
      <c r="B269" s="1">
        <v>45065</v>
      </c>
      <c r="C269">
        <v>2023</v>
      </c>
      <c r="D269">
        <v>5</v>
      </c>
      <c r="E269" t="s">
        <v>109</v>
      </c>
      <c r="F269" t="s">
        <v>41</v>
      </c>
      <c r="G269" t="s">
        <v>42</v>
      </c>
      <c r="H269" t="s">
        <v>28</v>
      </c>
      <c r="I269" t="s">
        <v>29</v>
      </c>
      <c r="J269" t="s">
        <v>30</v>
      </c>
      <c r="K269" t="s">
        <v>31</v>
      </c>
      <c r="L269" t="s">
        <v>32</v>
      </c>
      <c r="M269" t="s">
        <v>33</v>
      </c>
      <c r="N269">
        <v>0</v>
      </c>
      <c r="O269" t="s">
        <v>34</v>
      </c>
      <c r="P269" t="s">
        <v>35</v>
      </c>
      <c r="Q269" t="s">
        <v>76</v>
      </c>
      <c r="R269" t="s">
        <v>49</v>
      </c>
      <c r="S269" t="s">
        <v>38</v>
      </c>
      <c r="T269">
        <v>11</v>
      </c>
      <c r="U269">
        <v>51128</v>
      </c>
      <c r="V269">
        <v>0</v>
      </c>
      <c r="W269">
        <v>0</v>
      </c>
      <c r="X269">
        <v>0</v>
      </c>
      <c r="Y269">
        <f>IF(tbl_Incidents[[#This Row],[Lost_Time_Days]]&gt;0, 1, 0)</f>
        <v>0</v>
      </c>
      <c r="Z269" s="1">
        <f>DATE(tbl_Incidents[[#This Row],[Year]], tbl_Incidents[[#This Row],[Month]], 1)</f>
        <v>45047</v>
      </c>
      <c r="AA269" t="str">
        <f t="shared" si="4"/>
        <v>Darwin Port Facility|2023-05</v>
      </c>
    </row>
    <row r="270" spans="1:27" x14ac:dyDescent="0.35">
      <c r="A270" t="s">
        <v>368</v>
      </c>
      <c r="B270" s="1">
        <v>45079</v>
      </c>
      <c r="C270">
        <v>2023</v>
      </c>
      <c r="D270">
        <v>6</v>
      </c>
      <c r="E270" t="s">
        <v>72</v>
      </c>
      <c r="F270" t="s">
        <v>41</v>
      </c>
      <c r="G270" t="s">
        <v>105</v>
      </c>
      <c r="H270" t="s">
        <v>68</v>
      </c>
      <c r="I270" t="s">
        <v>44</v>
      </c>
      <c r="J270" t="s">
        <v>30</v>
      </c>
      <c r="K270" t="s">
        <v>31</v>
      </c>
      <c r="L270" t="s">
        <v>95</v>
      </c>
      <c r="M270" t="s">
        <v>33</v>
      </c>
      <c r="N270">
        <v>0</v>
      </c>
      <c r="O270" t="s">
        <v>63</v>
      </c>
      <c r="P270" t="s">
        <v>35</v>
      </c>
      <c r="Q270" t="s">
        <v>48</v>
      </c>
      <c r="R270" t="s">
        <v>57</v>
      </c>
      <c r="S270" t="s">
        <v>38</v>
      </c>
      <c r="T270">
        <v>10</v>
      </c>
      <c r="U270">
        <v>91505</v>
      </c>
      <c r="V270">
        <v>0</v>
      </c>
      <c r="W270">
        <v>0</v>
      </c>
      <c r="X270">
        <v>0</v>
      </c>
      <c r="Y270">
        <f>IF(tbl_Incidents[[#This Row],[Lost_Time_Days]]&gt;0, 1, 0)</f>
        <v>0</v>
      </c>
      <c r="Z270" s="1">
        <f>DATE(tbl_Incidents[[#This Row],[Year]], tbl_Incidents[[#This Row],[Month]], 1)</f>
        <v>45078</v>
      </c>
      <c r="AA270" t="str">
        <f t="shared" si="4"/>
        <v>Katherine Processing Site|2023-06</v>
      </c>
    </row>
    <row r="271" spans="1:27" x14ac:dyDescent="0.35">
      <c r="A271" t="s">
        <v>369</v>
      </c>
      <c r="B271" s="1">
        <v>45279</v>
      </c>
      <c r="C271">
        <v>2023</v>
      </c>
      <c r="D271">
        <v>12</v>
      </c>
      <c r="E271" t="s">
        <v>123</v>
      </c>
      <c r="F271" t="s">
        <v>26</v>
      </c>
      <c r="G271" t="s">
        <v>59</v>
      </c>
      <c r="H271" t="s">
        <v>120</v>
      </c>
      <c r="I271" t="s">
        <v>54</v>
      </c>
      <c r="J271" t="s">
        <v>30</v>
      </c>
      <c r="K271" t="s">
        <v>31</v>
      </c>
      <c r="L271" t="s">
        <v>83</v>
      </c>
      <c r="M271" t="s">
        <v>56</v>
      </c>
      <c r="N271">
        <v>0</v>
      </c>
      <c r="O271" t="s">
        <v>34</v>
      </c>
      <c r="P271" t="s">
        <v>35</v>
      </c>
      <c r="Q271" t="s">
        <v>48</v>
      </c>
      <c r="R271" t="s">
        <v>57</v>
      </c>
      <c r="S271" t="s">
        <v>50</v>
      </c>
      <c r="T271">
        <v>8</v>
      </c>
      <c r="U271">
        <v>60369</v>
      </c>
      <c r="V271">
        <v>0</v>
      </c>
      <c r="W271">
        <v>0</v>
      </c>
      <c r="X271">
        <v>0</v>
      </c>
      <c r="Y271">
        <f>IF(tbl_Incidents[[#This Row],[Lost_Time_Days]]&gt;0, 1, 0)</f>
        <v>0</v>
      </c>
      <c r="Z271" s="1">
        <f>DATE(tbl_Incidents[[#This Row],[Year]], tbl_Incidents[[#This Row],[Month]], 1)</f>
        <v>45261</v>
      </c>
      <c r="AA271" t="str">
        <f t="shared" si="4"/>
        <v>Pilbara Crusher Plant|2023-12</v>
      </c>
    </row>
    <row r="272" spans="1:27" x14ac:dyDescent="0.35">
      <c r="A272" t="s">
        <v>370</v>
      </c>
      <c r="B272" s="1">
        <v>44670</v>
      </c>
      <c r="C272">
        <v>2022</v>
      </c>
      <c r="D272">
        <v>4</v>
      </c>
      <c r="E272" t="s">
        <v>40</v>
      </c>
      <c r="F272" t="s">
        <v>41</v>
      </c>
      <c r="G272" t="s">
        <v>105</v>
      </c>
      <c r="H272" t="s">
        <v>86</v>
      </c>
      <c r="I272" t="s">
        <v>44</v>
      </c>
      <c r="J272" t="s">
        <v>30</v>
      </c>
      <c r="K272" t="s">
        <v>117</v>
      </c>
      <c r="L272" t="s">
        <v>55</v>
      </c>
      <c r="M272" t="s">
        <v>33</v>
      </c>
      <c r="N272">
        <v>0</v>
      </c>
      <c r="O272" t="s">
        <v>90</v>
      </c>
      <c r="P272" t="s">
        <v>91</v>
      </c>
      <c r="Q272" t="s">
        <v>48</v>
      </c>
      <c r="R272" t="s">
        <v>49</v>
      </c>
      <c r="S272" t="s">
        <v>38</v>
      </c>
      <c r="T272">
        <v>11</v>
      </c>
      <c r="U272">
        <v>74735</v>
      </c>
      <c r="V272">
        <v>0</v>
      </c>
      <c r="W272">
        <v>0</v>
      </c>
      <c r="X272">
        <v>0</v>
      </c>
      <c r="Y272">
        <f>IF(tbl_Incidents[[#This Row],[Lost_Time_Days]]&gt;0, 1, 0)</f>
        <v>0</v>
      </c>
      <c r="Z272" s="1">
        <f>DATE(tbl_Incidents[[#This Row],[Year]], tbl_Incidents[[#This Row],[Month]], 1)</f>
        <v>44652</v>
      </c>
      <c r="AA272" t="str">
        <f t="shared" si="4"/>
        <v>Katherine Processing Site|2022-04</v>
      </c>
    </row>
    <row r="273" spans="1:27" x14ac:dyDescent="0.35">
      <c r="A273" t="s">
        <v>371</v>
      </c>
      <c r="B273" s="1">
        <v>45434</v>
      </c>
      <c r="C273">
        <v>2024</v>
      </c>
      <c r="D273">
        <v>5</v>
      </c>
      <c r="E273" t="s">
        <v>109</v>
      </c>
      <c r="F273" t="s">
        <v>41</v>
      </c>
      <c r="G273" t="s">
        <v>27</v>
      </c>
      <c r="H273" t="s">
        <v>73</v>
      </c>
      <c r="I273" t="s">
        <v>29</v>
      </c>
      <c r="J273" t="s">
        <v>30</v>
      </c>
      <c r="K273" t="s">
        <v>31</v>
      </c>
      <c r="L273" t="s">
        <v>32</v>
      </c>
      <c r="M273" t="s">
        <v>46</v>
      </c>
      <c r="N273">
        <v>0</v>
      </c>
      <c r="O273" t="s">
        <v>75</v>
      </c>
      <c r="P273" t="s">
        <v>35</v>
      </c>
      <c r="Q273" t="s">
        <v>48</v>
      </c>
      <c r="R273" t="s">
        <v>57</v>
      </c>
      <c r="S273" t="s">
        <v>38</v>
      </c>
      <c r="T273">
        <v>8</v>
      </c>
      <c r="U273">
        <v>72534</v>
      </c>
      <c r="V273">
        <v>0</v>
      </c>
      <c r="W273">
        <v>0</v>
      </c>
      <c r="X273">
        <v>1</v>
      </c>
      <c r="Y273">
        <f>IF(tbl_Incidents[[#This Row],[Lost_Time_Days]]&gt;0, 1, 0)</f>
        <v>0</v>
      </c>
      <c r="Z273" s="1">
        <f>DATE(tbl_Incidents[[#This Row],[Year]], tbl_Incidents[[#This Row],[Month]], 1)</f>
        <v>45413</v>
      </c>
      <c r="AA273" t="str">
        <f t="shared" si="4"/>
        <v>Thunderbird Mine|2024-05</v>
      </c>
    </row>
    <row r="274" spans="1:27" x14ac:dyDescent="0.35">
      <c r="A274" t="s">
        <v>372</v>
      </c>
      <c r="B274" s="1">
        <v>44967</v>
      </c>
      <c r="C274">
        <v>2023</v>
      </c>
      <c r="D274">
        <v>2</v>
      </c>
      <c r="E274" t="s">
        <v>52</v>
      </c>
      <c r="F274" t="s">
        <v>53</v>
      </c>
      <c r="G274" t="s">
        <v>27</v>
      </c>
      <c r="H274" t="s">
        <v>28</v>
      </c>
      <c r="I274" t="s">
        <v>98</v>
      </c>
      <c r="J274" t="s">
        <v>30</v>
      </c>
      <c r="K274" t="s">
        <v>31</v>
      </c>
      <c r="L274" t="s">
        <v>32</v>
      </c>
      <c r="M274" t="s">
        <v>56</v>
      </c>
      <c r="N274">
        <v>0</v>
      </c>
      <c r="O274" t="s">
        <v>70</v>
      </c>
      <c r="P274" t="s">
        <v>35</v>
      </c>
      <c r="Q274" t="s">
        <v>36</v>
      </c>
      <c r="R274" t="s">
        <v>49</v>
      </c>
      <c r="S274" t="s">
        <v>88</v>
      </c>
      <c r="T274">
        <v>12</v>
      </c>
      <c r="U274">
        <v>112105</v>
      </c>
      <c r="V274">
        <v>0</v>
      </c>
      <c r="W274">
        <v>0</v>
      </c>
      <c r="X274">
        <v>0</v>
      </c>
      <c r="Y274">
        <f>IF(tbl_Incidents[[#This Row],[Lost_Time_Days]]&gt;0, 1, 0)</f>
        <v>0</v>
      </c>
      <c r="Z274" s="1">
        <f>DATE(tbl_Incidents[[#This Row],[Year]], tbl_Incidents[[#This Row],[Month]], 1)</f>
        <v>44958</v>
      </c>
      <c r="AA274" t="str">
        <f t="shared" si="4"/>
        <v>Thunderbird Mine|2023-02</v>
      </c>
    </row>
    <row r="275" spans="1:27" x14ac:dyDescent="0.35">
      <c r="A275" t="s">
        <v>373</v>
      </c>
      <c r="B275" s="1">
        <v>44817</v>
      </c>
      <c r="C275">
        <v>2022</v>
      </c>
      <c r="D275">
        <v>9</v>
      </c>
      <c r="E275" t="s">
        <v>97</v>
      </c>
      <c r="F275" t="s">
        <v>67</v>
      </c>
      <c r="G275" t="s">
        <v>105</v>
      </c>
      <c r="H275" t="s">
        <v>68</v>
      </c>
      <c r="I275" t="s">
        <v>29</v>
      </c>
      <c r="J275" t="s">
        <v>30</v>
      </c>
      <c r="K275" t="s">
        <v>31</v>
      </c>
      <c r="L275" t="s">
        <v>93</v>
      </c>
      <c r="M275" t="s">
        <v>33</v>
      </c>
      <c r="N275">
        <v>0</v>
      </c>
      <c r="O275" t="s">
        <v>34</v>
      </c>
      <c r="P275" t="s">
        <v>35</v>
      </c>
      <c r="Q275" t="s">
        <v>48</v>
      </c>
      <c r="R275" t="s">
        <v>57</v>
      </c>
      <c r="S275" t="s">
        <v>38</v>
      </c>
      <c r="T275">
        <v>11</v>
      </c>
      <c r="U275">
        <v>88790</v>
      </c>
      <c r="V275">
        <v>0</v>
      </c>
      <c r="W275">
        <v>0</v>
      </c>
      <c r="X275">
        <v>0</v>
      </c>
      <c r="Y275">
        <f>IF(tbl_Incidents[[#This Row],[Lost_Time_Days]]&gt;0, 1, 0)</f>
        <v>0</v>
      </c>
      <c r="Z275" s="1">
        <f>DATE(tbl_Incidents[[#This Row],[Year]], tbl_Incidents[[#This Row],[Month]], 1)</f>
        <v>44805</v>
      </c>
      <c r="AA275" t="str">
        <f t="shared" si="4"/>
        <v>Katherine Processing Site|2022-09</v>
      </c>
    </row>
    <row r="276" spans="1:27" x14ac:dyDescent="0.35">
      <c r="A276" t="s">
        <v>374</v>
      </c>
      <c r="B276" s="1">
        <v>45222</v>
      </c>
      <c r="C276">
        <v>2023</v>
      </c>
      <c r="D276">
        <v>10</v>
      </c>
      <c r="E276" t="s">
        <v>25</v>
      </c>
      <c r="F276" t="s">
        <v>26</v>
      </c>
      <c r="G276" t="s">
        <v>78</v>
      </c>
      <c r="H276" t="s">
        <v>43</v>
      </c>
      <c r="I276" t="s">
        <v>29</v>
      </c>
      <c r="J276" t="s">
        <v>30</v>
      </c>
      <c r="K276" t="s">
        <v>31</v>
      </c>
      <c r="L276" t="s">
        <v>32</v>
      </c>
      <c r="M276" t="s">
        <v>33</v>
      </c>
      <c r="N276">
        <v>0</v>
      </c>
      <c r="O276" t="s">
        <v>34</v>
      </c>
      <c r="P276" t="s">
        <v>35</v>
      </c>
      <c r="Q276" t="s">
        <v>48</v>
      </c>
      <c r="R276" t="s">
        <v>49</v>
      </c>
      <c r="S276" t="s">
        <v>38</v>
      </c>
      <c r="T276">
        <v>8</v>
      </c>
      <c r="U276">
        <v>83456</v>
      </c>
      <c r="V276">
        <v>0</v>
      </c>
      <c r="W276">
        <v>0</v>
      </c>
      <c r="X276">
        <v>0</v>
      </c>
      <c r="Y276">
        <f>IF(tbl_Incidents[[#This Row],[Lost_Time_Days]]&gt;0, 1, 0)</f>
        <v>0</v>
      </c>
      <c r="Z276" s="1">
        <f>DATE(tbl_Incidents[[#This Row],[Year]], tbl_Incidents[[#This Row],[Month]], 1)</f>
        <v>45200</v>
      </c>
      <c r="AA276" t="str">
        <f t="shared" si="4"/>
        <v>Broome Logistics Hub|2023-10</v>
      </c>
    </row>
    <row r="277" spans="1:27" x14ac:dyDescent="0.35">
      <c r="A277" t="s">
        <v>375</v>
      </c>
      <c r="B277" s="1">
        <v>45034</v>
      </c>
      <c r="C277">
        <v>2023</v>
      </c>
      <c r="D277">
        <v>4</v>
      </c>
      <c r="E277" t="s">
        <v>40</v>
      </c>
      <c r="F277" t="s">
        <v>41</v>
      </c>
      <c r="G277" t="s">
        <v>42</v>
      </c>
      <c r="H277" t="s">
        <v>43</v>
      </c>
      <c r="I277" t="s">
        <v>29</v>
      </c>
      <c r="J277" t="s">
        <v>30</v>
      </c>
      <c r="K277" t="s">
        <v>31</v>
      </c>
      <c r="L277" t="s">
        <v>55</v>
      </c>
      <c r="M277" t="s">
        <v>46</v>
      </c>
      <c r="N277">
        <v>0</v>
      </c>
      <c r="O277" t="s">
        <v>63</v>
      </c>
      <c r="P277" t="s">
        <v>47</v>
      </c>
      <c r="Q277" t="s">
        <v>36</v>
      </c>
      <c r="R277" t="s">
        <v>49</v>
      </c>
      <c r="S277" t="s">
        <v>88</v>
      </c>
      <c r="T277">
        <v>9</v>
      </c>
      <c r="U277">
        <v>86392</v>
      </c>
      <c r="V277">
        <v>0</v>
      </c>
      <c r="W277">
        <v>0</v>
      </c>
      <c r="X277">
        <v>0</v>
      </c>
      <c r="Y277">
        <f>IF(tbl_Incidents[[#This Row],[Lost_Time_Days]]&gt;0, 1, 0)</f>
        <v>0</v>
      </c>
      <c r="Z277" s="1">
        <f>DATE(tbl_Incidents[[#This Row],[Year]], tbl_Incidents[[#This Row],[Month]], 1)</f>
        <v>45017</v>
      </c>
      <c r="AA277" t="str">
        <f t="shared" si="4"/>
        <v>Darwin Port Facility|2023-04</v>
      </c>
    </row>
    <row r="278" spans="1:27" x14ac:dyDescent="0.35">
      <c r="A278" t="s">
        <v>376</v>
      </c>
      <c r="B278" s="1">
        <v>44753</v>
      </c>
      <c r="C278">
        <v>2022</v>
      </c>
      <c r="D278">
        <v>7</v>
      </c>
      <c r="E278" t="s">
        <v>85</v>
      </c>
      <c r="F278" t="s">
        <v>67</v>
      </c>
      <c r="G278" t="s">
        <v>59</v>
      </c>
      <c r="H278" t="s">
        <v>86</v>
      </c>
      <c r="I278" t="s">
        <v>60</v>
      </c>
      <c r="J278" t="s">
        <v>61</v>
      </c>
      <c r="K278" t="s">
        <v>112</v>
      </c>
      <c r="L278" t="s">
        <v>45</v>
      </c>
      <c r="M278" t="s">
        <v>46</v>
      </c>
      <c r="N278">
        <v>0</v>
      </c>
      <c r="O278" t="s">
        <v>90</v>
      </c>
      <c r="P278" t="s">
        <v>35</v>
      </c>
      <c r="Q278" t="s">
        <v>81</v>
      </c>
      <c r="R278" t="s">
        <v>49</v>
      </c>
      <c r="S278" t="s">
        <v>88</v>
      </c>
      <c r="T278">
        <v>12</v>
      </c>
      <c r="U278">
        <v>102787</v>
      </c>
      <c r="V278">
        <v>1</v>
      </c>
      <c r="W278">
        <v>0</v>
      </c>
      <c r="X278">
        <v>0</v>
      </c>
      <c r="Y278">
        <f>IF(tbl_Incidents[[#This Row],[Lost_Time_Days]]&gt;0, 1, 0)</f>
        <v>0</v>
      </c>
      <c r="Z278" s="1">
        <f>DATE(tbl_Incidents[[#This Row],[Year]], tbl_Incidents[[#This Row],[Month]], 1)</f>
        <v>44743</v>
      </c>
      <c r="AA278" t="str">
        <f t="shared" si="4"/>
        <v>Pilbara Crusher Plant|2022-07</v>
      </c>
    </row>
    <row r="279" spans="1:27" x14ac:dyDescent="0.35">
      <c r="A279" t="s">
        <v>377</v>
      </c>
      <c r="B279" s="1">
        <v>44624</v>
      </c>
      <c r="C279">
        <v>2022</v>
      </c>
      <c r="D279">
        <v>3</v>
      </c>
      <c r="E279" t="s">
        <v>125</v>
      </c>
      <c r="F279" t="s">
        <v>53</v>
      </c>
      <c r="G279" t="s">
        <v>59</v>
      </c>
      <c r="H279" t="s">
        <v>86</v>
      </c>
      <c r="I279" t="s">
        <v>29</v>
      </c>
      <c r="J279" t="s">
        <v>30</v>
      </c>
      <c r="K279" t="s">
        <v>31</v>
      </c>
      <c r="L279" t="s">
        <v>93</v>
      </c>
      <c r="M279" t="s">
        <v>56</v>
      </c>
      <c r="N279">
        <v>0</v>
      </c>
      <c r="O279" t="s">
        <v>34</v>
      </c>
      <c r="P279" t="s">
        <v>35</v>
      </c>
      <c r="Q279" t="s">
        <v>76</v>
      </c>
      <c r="R279" t="s">
        <v>57</v>
      </c>
      <c r="S279" t="s">
        <v>88</v>
      </c>
      <c r="T279">
        <v>10</v>
      </c>
      <c r="U279">
        <v>102873</v>
      </c>
      <c r="V279">
        <v>0</v>
      </c>
      <c r="W279">
        <v>0</v>
      </c>
      <c r="X279">
        <v>0</v>
      </c>
      <c r="Y279">
        <f>IF(tbl_Incidents[[#This Row],[Lost_Time_Days]]&gt;0, 1, 0)</f>
        <v>0</v>
      </c>
      <c r="Z279" s="1">
        <f>DATE(tbl_Incidents[[#This Row],[Year]], tbl_Incidents[[#This Row],[Month]], 1)</f>
        <v>44621</v>
      </c>
      <c r="AA279" t="str">
        <f t="shared" si="4"/>
        <v>Pilbara Crusher Plant|2022-03</v>
      </c>
    </row>
    <row r="280" spans="1:27" x14ac:dyDescent="0.35">
      <c r="A280" t="s">
        <v>378</v>
      </c>
      <c r="B280" s="1">
        <v>45058</v>
      </c>
      <c r="C280">
        <v>2023</v>
      </c>
      <c r="D280">
        <v>5</v>
      </c>
      <c r="E280" t="s">
        <v>109</v>
      </c>
      <c r="F280" t="s">
        <v>41</v>
      </c>
      <c r="G280" t="s">
        <v>78</v>
      </c>
      <c r="H280" t="s">
        <v>43</v>
      </c>
      <c r="I280" t="s">
        <v>60</v>
      </c>
      <c r="J280" t="s">
        <v>61</v>
      </c>
      <c r="K280" t="s">
        <v>117</v>
      </c>
      <c r="L280" t="s">
        <v>55</v>
      </c>
      <c r="M280" t="s">
        <v>56</v>
      </c>
      <c r="N280">
        <v>0</v>
      </c>
      <c r="O280" t="s">
        <v>34</v>
      </c>
      <c r="P280" t="s">
        <v>35</v>
      </c>
      <c r="Q280" t="s">
        <v>81</v>
      </c>
      <c r="R280" t="s">
        <v>37</v>
      </c>
      <c r="S280" t="s">
        <v>38</v>
      </c>
      <c r="T280">
        <v>8</v>
      </c>
      <c r="U280">
        <v>76822</v>
      </c>
      <c r="V280">
        <v>1</v>
      </c>
      <c r="W280">
        <v>0</v>
      </c>
      <c r="X280">
        <v>0</v>
      </c>
      <c r="Y280">
        <f>IF(tbl_Incidents[[#This Row],[Lost_Time_Days]]&gt;0, 1, 0)</f>
        <v>0</v>
      </c>
      <c r="Z280" s="1">
        <f>DATE(tbl_Incidents[[#This Row],[Year]], tbl_Incidents[[#This Row],[Month]], 1)</f>
        <v>45047</v>
      </c>
      <c r="AA280" t="str">
        <f t="shared" si="4"/>
        <v>Broome Logistics Hub|2023-05</v>
      </c>
    </row>
    <row r="281" spans="1:27" x14ac:dyDescent="0.35">
      <c r="A281" t="s">
        <v>379</v>
      </c>
      <c r="B281" s="1">
        <v>44621</v>
      </c>
      <c r="C281">
        <v>2022</v>
      </c>
      <c r="D281">
        <v>3</v>
      </c>
      <c r="E281" t="s">
        <v>125</v>
      </c>
      <c r="F281" t="s">
        <v>53</v>
      </c>
      <c r="G281" t="s">
        <v>105</v>
      </c>
      <c r="H281" t="s">
        <v>43</v>
      </c>
      <c r="I281" t="s">
        <v>54</v>
      </c>
      <c r="J281" t="s">
        <v>30</v>
      </c>
      <c r="K281" t="s">
        <v>31</v>
      </c>
      <c r="L281" t="s">
        <v>80</v>
      </c>
      <c r="M281" t="s">
        <v>46</v>
      </c>
      <c r="N281">
        <v>0</v>
      </c>
      <c r="O281" t="s">
        <v>34</v>
      </c>
      <c r="P281" t="s">
        <v>35</v>
      </c>
      <c r="Q281" t="s">
        <v>36</v>
      </c>
      <c r="R281" t="s">
        <v>57</v>
      </c>
      <c r="S281" t="s">
        <v>38</v>
      </c>
      <c r="T281">
        <v>10</v>
      </c>
      <c r="U281">
        <v>109951</v>
      </c>
      <c r="V281">
        <v>0</v>
      </c>
      <c r="W281">
        <v>0</v>
      </c>
      <c r="X281">
        <v>0</v>
      </c>
      <c r="Y281">
        <f>IF(tbl_Incidents[[#This Row],[Lost_Time_Days]]&gt;0, 1, 0)</f>
        <v>0</v>
      </c>
      <c r="Z281" s="1">
        <f>DATE(tbl_Incidents[[#This Row],[Year]], tbl_Incidents[[#This Row],[Month]], 1)</f>
        <v>44621</v>
      </c>
      <c r="AA281" t="str">
        <f t="shared" si="4"/>
        <v>Katherine Processing Site|2022-03</v>
      </c>
    </row>
    <row r="282" spans="1:27" x14ac:dyDescent="0.35">
      <c r="A282" t="s">
        <v>380</v>
      </c>
      <c r="B282" s="1">
        <v>45397</v>
      </c>
      <c r="C282">
        <v>2024</v>
      </c>
      <c r="D282">
        <v>4</v>
      </c>
      <c r="E282" t="s">
        <v>40</v>
      </c>
      <c r="F282" t="s">
        <v>41</v>
      </c>
      <c r="G282" t="s">
        <v>27</v>
      </c>
      <c r="H282" t="s">
        <v>73</v>
      </c>
      <c r="I282" t="s">
        <v>54</v>
      </c>
      <c r="J282" t="s">
        <v>30</v>
      </c>
      <c r="K282" t="s">
        <v>31</v>
      </c>
      <c r="L282" t="s">
        <v>95</v>
      </c>
      <c r="M282" t="s">
        <v>56</v>
      </c>
      <c r="N282">
        <v>0</v>
      </c>
      <c r="O282" t="s">
        <v>34</v>
      </c>
      <c r="P282" t="s">
        <v>35</v>
      </c>
      <c r="Q282" t="s">
        <v>48</v>
      </c>
      <c r="R282" t="s">
        <v>57</v>
      </c>
      <c r="S282" t="s">
        <v>50</v>
      </c>
      <c r="T282">
        <v>10</v>
      </c>
      <c r="U282">
        <v>87026</v>
      </c>
      <c r="V282">
        <v>0</v>
      </c>
      <c r="W282">
        <v>0</v>
      </c>
      <c r="X282">
        <v>0</v>
      </c>
      <c r="Y282">
        <f>IF(tbl_Incidents[[#This Row],[Lost_Time_Days]]&gt;0, 1, 0)</f>
        <v>0</v>
      </c>
      <c r="Z282" s="1">
        <f>DATE(tbl_Incidents[[#This Row],[Year]], tbl_Incidents[[#This Row],[Month]], 1)</f>
        <v>45383</v>
      </c>
      <c r="AA282" t="str">
        <f t="shared" si="4"/>
        <v>Thunderbird Mine|2024-04</v>
      </c>
    </row>
    <row r="283" spans="1:27" x14ac:dyDescent="0.35">
      <c r="A283" t="s">
        <v>381</v>
      </c>
      <c r="B283" s="1">
        <v>45167</v>
      </c>
      <c r="C283">
        <v>2023</v>
      </c>
      <c r="D283">
        <v>8</v>
      </c>
      <c r="E283" t="s">
        <v>66</v>
      </c>
      <c r="F283" t="s">
        <v>67</v>
      </c>
      <c r="G283" t="s">
        <v>59</v>
      </c>
      <c r="H283" t="s">
        <v>43</v>
      </c>
      <c r="I283" t="s">
        <v>29</v>
      </c>
      <c r="J283" t="s">
        <v>30</v>
      </c>
      <c r="K283" t="s">
        <v>31</v>
      </c>
      <c r="L283" t="s">
        <v>95</v>
      </c>
      <c r="M283" t="s">
        <v>33</v>
      </c>
      <c r="N283">
        <v>0</v>
      </c>
      <c r="O283" t="s">
        <v>90</v>
      </c>
      <c r="P283" t="s">
        <v>35</v>
      </c>
      <c r="Q283" t="s">
        <v>64</v>
      </c>
      <c r="R283" t="s">
        <v>37</v>
      </c>
      <c r="S283" t="s">
        <v>38</v>
      </c>
      <c r="T283">
        <v>9</v>
      </c>
      <c r="U283">
        <v>104282</v>
      </c>
      <c r="V283">
        <v>0</v>
      </c>
      <c r="W283">
        <v>0</v>
      </c>
      <c r="X283">
        <v>0</v>
      </c>
      <c r="Y283">
        <f>IF(tbl_Incidents[[#This Row],[Lost_Time_Days]]&gt;0, 1, 0)</f>
        <v>0</v>
      </c>
      <c r="Z283" s="1">
        <f>DATE(tbl_Incidents[[#This Row],[Year]], tbl_Incidents[[#This Row],[Month]], 1)</f>
        <v>45139</v>
      </c>
      <c r="AA283" t="str">
        <f t="shared" si="4"/>
        <v>Pilbara Crusher Plant|2023-08</v>
      </c>
    </row>
    <row r="284" spans="1:27" x14ac:dyDescent="0.35">
      <c r="A284" t="s">
        <v>382</v>
      </c>
      <c r="B284" s="1">
        <v>44619</v>
      </c>
      <c r="C284">
        <v>2022</v>
      </c>
      <c r="D284">
        <v>2</v>
      </c>
      <c r="E284" t="s">
        <v>52</v>
      </c>
      <c r="F284" t="s">
        <v>53</v>
      </c>
      <c r="G284" t="s">
        <v>78</v>
      </c>
      <c r="H284" t="s">
        <v>73</v>
      </c>
      <c r="I284" t="s">
        <v>44</v>
      </c>
      <c r="J284" t="s">
        <v>30</v>
      </c>
      <c r="K284" t="s">
        <v>147</v>
      </c>
      <c r="L284" t="s">
        <v>103</v>
      </c>
      <c r="M284" t="s">
        <v>56</v>
      </c>
      <c r="N284">
        <v>0</v>
      </c>
      <c r="O284" t="s">
        <v>34</v>
      </c>
      <c r="P284" t="s">
        <v>91</v>
      </c>
      <c r="Q284" t="s">
        <v>76</v>
      </c>
      <c r="R284" t="s">
        <v>57</v>
      </c>
      <c r="S284" t="s">
        <v>38</v>
      </c>
      <c r="T284">
        <v>10</v>
      </c>
      <c r="U284">
        <v>63260</v>
      </c>
      <c r="V284">
        <v>0</v>
      </c>
      <c r="W284">
        <v>0</v>
      </c>
      <c r="X284">
        <v>0</v>
      </c>
      <c r="Y284">
        <f>IF(tbl_Incidents[[#This Row],[Lost_Time_Days]]&gt;0, 1, 0)</f>
        <v>0</v>
      </c>
      <c r="Z284" s="1">
        <f>DATE(tbl_Incidents[[#This Row],[Year]], tbl_Incidents[[#This Row],[Month]], 1)</f>
        <v>44593</v>
      </c>
      <c r="AA284" t="str">
        <f t="shared" si="4"/>
        <v>Broome Logistics Hub|2022-02</v>
      </c>
    </row>
    <row r="285" spans="1:27" x14ac:dyDescent="0.35">
      <c r="A285" t="s">
        <v>383</v>
      </c>
      <c r="B285" s="1">
        <v>45383</v>
      </c>
      <c r="C285">
        <v>2024</v>
      </c>
      <c r="D285">
        <v>4</v>
      </c>
      <c r="E285" t="s">
        <v>40</v>
      </c>
      <c r="F285" t="s">
        <v>41</v>
      </c>
      <c r="G285" t="s">
        <v>59</v>
      </c>
      <c r="H285" t="s">
        <v>68</v>
      </c>
      <c r="I285" t="s">
        <v>54</v>
      </c>
      <c r="J285" t="s">
        <v>30</v>
      </c>
      <c r="K285" t="s">
        <v>31</v>
      </c>
      <c r="L285" t="s">
        <v>45</v>
      </c>
      <c r="M285" t="s">
        <v>33</v>
      </c>
      <c r="N285">
        <v>0</v>
      </c>
      <c r="O285" t="s">
        <v>90</v>
      </c>
      <c r="P285" t="s">
        <v>35</v>
      </c>
      <c r="Q285" t="s">
        <v>36</v>
      </c>
      <c r="R285" t="s">
        <v>37</v>
      </c>
      <c r="S285" t="s">
        <v>38</v>
      </c>
      <c r="T285">
        <v>8</v>
      </c>
      <c r="U285">
        <v>88967</v>
      </c>
      <c r="V285">
        <v>0</v>
      </c>
      <c r="W285">
        <v>0</v>
      </c>
      <c r="X285">
        <v>0</v>
      </c>
      <c r="Y285">
        <f>IF(tbl_Incidents[[#This Row],[Lost_Time_Days]]&gt;0, 1, 0)</f>
        <v>0</v>
      </c>
      <c r="Z285" s="1">
        <f>DATE(tbl_Incidents[[#This Row],[Year]], tbl_Incidents[[#This Row],[Month]], 1)</f>
        <v>45383</v>
      </c>
      <c r="AA285" t="str">
        <f t="shared" si="4"/>
        <v>Pilbara Crusher Plant|2024-04</v>
      </c>
    </row>
    <row r="286" spans="1:27" x14ac:dyDescent="0.35">
      <c r="A286" t="s">
        <v>384</v>
      </c>
      <c r="B286" s="1">
        <v>45283</v>
      </c>
      <c r="C286">
        <v>2023</v>
      </c>
      <c r="D286">
        <v>12</v>
      </c>
      <c r="E286" t="s">
        <v>123</v>
      </c>
      <c r="F286" t="s">
        <v>26</v>
      </c>
      <c r="G286" t="s">
        <v>105</v>
      </c>
      <c r="H286" t="s">
        <v>43</v>
      </c>
      <c r="I286" t="s">
        <v>79</v>
      </c>
      <c r="J286" t="s">
        <v>30</v>
      </c>
      <c r="K286" t="s">
        <v>31</v>
      </c>
      <c r="L286" t="s">
        <v>74</v>
      </c>
      <c r="M286" t="s">
        <v>56</v>
      </c>
      <c r="N286">
        <v>0</v>
      </c>
      <c r="O286" t="s">
        <v>34</v>
      </c>
      <c r="P286" t="s">
        <v>91</v>
      </c>
      <c r="Q286" t="s">
        <v>48</v>
      </c>
      <c r="R286" t="s">
        <v>57</v>
      </c>
      <c r="S286" t="s">
        <v>88</v>
      </c>
      <c r="T286">
        <v>11</v>
      </c>
      <c r="U286">
        <v>81586</v>
      </c>
      <c r="V286">
        <v>0</v>
      </c>
      <c r="W286">
        <v>0</v>
      </c>
      <c r="X286">
        <v>0</v>
      </c>
      <c r="Y286">
        <f>IF(tbl_Incidents[[#This Row],[Lost_Time_Days]]&gt;0, 1, 0)</f>
        <v>0</v>
      </c>
      <c r="Z286" s="1">
        <f>DATE(tbl_Incidents[[#This Row],[Year]], tbl_Incidents[[#This Row],[Month]], 1)</f>
        <v>45261</v>
      </c>
      <c r="AA286" t="str">
        <f t="shared" si="4"/>
        <v>Katherine Processing Site|2023-12</v>
      </c>
    </row>
    <row r="287" spans="1:27" x14ac:dyDescent="0.35">
      <c r="A287" t="s">
        <v>385</v>
      </c>
      <c r="B287" s="1">
        <v>44740</v>
      </c>
      <c r="C287">
        <v>2022</v>
      </c>
      <c r="D287">
        <v>6</v>
      </c>
      <c r="E287" t="s">
        <v>72</v>
      </c>
      <c r="F287" t="s">
        <v>41</v>
      </c>
      <c r="G287" t="s">
        <v>78</v>
      </c>
      <c r="H287" t="s">
        <v>28</v>
      </c>
      <c r="I287" t="s">
        <v>79</v>
      </c>
      <c r="J287" t="s">
        <v>30</v>
      </c>
      <c r="K287" t="s">
        <v>31</v>
      </c>
      <c r="L287" t="s">
        <v>95</v>
      </c>
      <c r="M287" t="s">
        <v>56</v>
      </c>
      <c r="N287">
        <v>0</v>
      </c>
      <c r="O287" t="s">
        <v>34</v>
      </c>
      <c r="P287" t="s">
        <v>35</v>
      </c>
      <c r="Q287" t="s">
        <v>64</v>
      </c>
      <c r="R287" t="s">
        <v>57</v>
      </c>
      <c r="S287" t="s">
        <v>38</v>
      </c>
      <c r="T287">
        <v>9</v>
      </c>
      <c r="U287">
        <v>63292</v>
      </c>
      <c r="V287">
        <v>0</v>
      </c>
      <c r="W287">
        <v>0</v>
      </c>
      <c r="X287">
        <v>0</v>
      </c>
      <c r="Y287">
        <f>IF(tbl_Incidents[[#This Row],[Lost_Time_Days]]&gt;0, 1, 0)</f>
        <v>0</v>
      </c>
      <c r="Z287" s="1">
        <f>DATE(tbl_Incidents[[#This Row],[Year]], tbl_Incidents[[#This Row],[Month]], 1)</f>
        <v>44713</v>
      </c>
      <c r="AA287" t="str">
        <f t="shared" si="4"/>
        <v>Broome Logistics Hub|2022-06</v>
      </c>
    </row>
    <row r="288" spans="1:27" x14ac:dyDescent="0.35">
      <c r="A288" t="s">
        <v>386</v>
      </c>
      <c r="B288" s="1">
        <v>45308</v>
      </c>
      <c r="C288">
        <v>2024</v>
      </c>
      <c r="D288">
        <v>1</v>
      </c>
      <c r="E288" t="s">
        <v>129</v>
      </c>
      <c r="F288" t="s">
        <v>53</v>
      </c>
      <c r="G288" t="s">
        <v>78</v>
      </c>
      <c r="H288" t="s">
        <v>86</v>
      </c>
      <c r="I288" t="s">
        <v>29</v>
      </c>
      <c r="J288" t="s">
        <v>30</v>
      </c>
      <c r="K288" t="s">
        <v>31</v>
      </c>
      <c r="L288" t="s">
        <v>95</v>
      </c>
      <c r="M288" t="s">
        <v>33</v>
      </c>
      <c r="N288">
        <v>0</v>
      </c>
      <c r="O288" t="s">
        <v>34</v>
      </c>
      <c r="P288" t="s">
        <v>91</v>
      </c>
      <c r="Q288" t="s">
        <v>76</v>
      </c>
      <c r="R288" t="s">
        <v>57</v>
      </c>
      <c r="S288" t="s">
        <v>50</v>
      </c>
      <c r="T288">
        <v>8</v>
      </c>
      <c r="U288">
        <v>105035</v>
      </c>
      <c r="V288">
        <v>0</v>
      </c>
      <c r="W288">
        <v>0</v>
      </c>
      <c r="X288">
        <v>0</v>
      </c>
      <c r="Y288">
        <f>IF(tbl_Incidents[[#This Row],[Lost_Time_Days]]&gt;0, 1, 0)</f>
        <v>0</v>
      </c>
      <c r="Z288" s="1">
        <f>DATE(tbl_Incidents[[#This Row],[Year]], tbl_Incidents[[#This Row],[Month]], 1)</f>
        <v>45292</v>
      </c>
      <c r="AA288" t="str">
        <f t="shared" si="4"/>
        <v>Broome Logistics Hub|2024-01</v>
      </c>
    </row>
    <row r="289" spans="1:27" x14ac:dyDescent="0.35">
      <c r="A289" t="s">
        <v>387</v>
      </c>
      <c r="B289" s="1">
        <v>45325</v>
      </c>
      <c r="C289">
        <v>2024</v>
      </c>
      <c r="D289">
        <v>2</v>
      </c>
      <c r="E289" t="s">
        <v>52</v>
      </c>
      <c r="F289" t="s">
        <v>53</v>
      </c>
      <c r="G289" t="s">
        <v>42</v>
      </c>
      <c r="H289" t="s">
        <v>120</v>
      </c>
      <c r="I289" t="s">
        <v>29</v>
      </c>
      <c r="J289" t="s">
        <v>30</v>
      </c>
      <c r="K289" t="s">
        <v>31</v>
      </c>
      <c r="L289" t="s">
        <v>80</v>
      </c>
      <c r="M289" t="s">
        <v>33</v>
      </c>
      <c r="N289">
        <v>0</v>
      </c>
      <c r="O289" t="s">
        <v>75</v>
      </c>
      <c r="P289" t="s">
        <v>35</v>
      </c>
      <c r="Q289" t="s">
        <v>81</v>
      </c>
      <c r="R289" t="s">
        <v>49</v>
      </c>
      <c r="S289" t="s">
        <v>38</v>
      </c>
      <c r="T289">
        <v>10</v>
      </c>
      <c r="U289">
        <v>67483</v>
      </c>
      <c r="V289">
        <v>0</v>
      </c>
      <c r="W289">
        <v>0</v>
      </c>
      <c r="X289">
        <v>0</v>
      </c>
      <c r="Y289">
        <f>IF(tbl_Incidents[[#This Row],[Lost_Time_Days]]&gt;0, 1, 0)</f>
        <v>0</v>
      </c>
      <c r="Z289" s="1">
        <f>DATE(tbl_Incidents[[#This Row],[Year]], tbl_Incidents[[#This Row],[Month]], 1)</f>
        <v>45323</v>
      </c>
      <c r="AA289" t="str">
        <f t="shared" si="4"/>
        <v>Darwin Port Facility|2024-02</v>
      </c>
    </row>
    <row r="290" spans="1:27" x14ac:dyDescent="0.35">
      <c r="A290" t="s">
        <v>388</v>
      </c>
      <c r="B290" s="1">
        <v>44631</v>
      </c>
      <c r="C290">
        <v>2022</v>
      </c>
      <c r="D290">
        <v>3</v>
      </c>
      <c r="E290" t="s">
        <v>125</v>
      </c>
      <c r="F290" t="s">
        <v>53</v>
      </c>
      <c r="G290" t="s">
        <v>59</v>
      </c>
      <c r="H290" t="s">
        <v>68</v>
      </c>
      <c r="I290" t="s">
        <v>60</v>
      </c>
      <c r="J290" t="s">
        <v>61</v>
      </c>
      <c r="K290" t="s">
        <v>147</v>
      </c>
      <c r="L290" t="s">
        <v>45</v>
      </c>
      <c r="M290" t="s">
        <v>56</v>
      </c>
      <c r="N290">
        <v>0</v>
      </c>
      <c r="O290" t="s">
        <v>63</v>
      </c>
      <c r="P290" t="s">
        <v>47</v>
      </c>
      <c r="Q290" t="s">
        <v>48</v>
      </c>
      <c r="R290" t="s">
        <v>49</v>
      </c>
      <c r="S290" t="s">
        <v>88</v>
      </c>
      <c r="T290">
        <v>11</v>
      </c>
      <c r="U290">
        <v>86036</v>
      </c>
      <c r="V290">
        <v>1</v>
      </c>
      <c r="W290">
        <v>0</v>
      </c>
      <c r="X290">
        <v>0</v>
      </c>
      <c r="Y290">
        <f>IF(tbl_Incidents[[#This Row],[Lost_Time_Days]]&gt;0, 1, 0)</f>
        <v>0</v>
      </c>
      <c r="Z290" s="1">
        <f>DATE(tbl_Incidents[[#This Row],[Year]], tbl_Incidents[[#This Row],[Month]], 1)</f>
        <v>44621</v>
      </c>
      <c r="AA290" t="str">
        <f t="shared" si="4"/>
        <v>Pilbara Crusher Plant|2022-03</v>
      </c>
    </row>
    <row r="291" spans="1:27" x14ac:dyDescent="0.35">
      <c r="A291" t="s">
        <v>389</v>
      </c>
      <c r="B291" s="1">
        <v>45121</v>
      </c>
      <c r="C291">
        <v>2023</v>
      </c>
      <c r="D291">
        <v>7</v>
      </c>
      <c r="E291" t="s">
        <v>85</v>
      </c>
      <c r="F291" t="s">
        <v>67</v>
      </c>
      <c r="G291" t="s">
        <v>105</v>
      </c>
      <c r="H291" t="s">
        <v>43</v>
      </c>
      <c r="I291" t="s">
        <v>110</v>
      </c>
      <c r="J291" t="s">
        <v>61</v>
      </c>
      <c r="K291" t="s">
        <v>69</v>
      </c>
      <c r="L291" t="s">
        <v>93</v>
      </c>
      <c r="M291" t="s">
        <v>56</v>
      </c>
      <c r="N291">
        <v>4</v>
      </c>
      <c r="O291" t="s">
        <v>34</v>
      </c>
      <c r="P291" t="s">
        <v>35</v>
      </c>
      <c r="Q291" t="s">
        <v>81</v>
      </c>
      <c r="R291" t="s">
        <v>57</v>
      </c>
      <c r="S291" t="s">
        <v>38</v>
      </c>
      <c r="T291">
        <v>10</v>
      </c>
      <c r="U291">
        <v>53726</v>
      </c>
      <c r="V291">
        <v>1</v>
      </c>
      <c r="W291">
        <v>0</v>
      </c>
      <c r="X291">
        <v>0</v>
      </c>
      <c r="Y291">
        <f>IF(tbl_Incidents[[#This Row],[Lost_Time_Days]]&gt;0, 1, 0)</f>
        <v>1</v>
      </c>
      <c r="Z291" s="1">
        <f>DATE(tbl_Incidents[[#This Row],[Year]], tbl_Incidents[[#This Row],[Month]], 1)</f>
        <v>45108</v>
      </c>
      <c r="AA291" t="str">
        <f t="shared" si="4"/>
        <v>Katherine Processing Site|2023-07</v>
      </c>
    </row>
    <row r="292" spans="1:27" x14ac:dyDescent="0.35">
      <c r="A292" t="s">
        <v>390</v>
      </c>
      <c r="B292" s="1">
        <v>44736</v>
      </c>
      <c r="C292">
        <v>2022</v>
      </c>
      <c r="D292">
        <v>6</v>
      </c>
      <c r="E292" t="s">
        <v>72</v>
      </c>
      <c r="F292" t="s">
        <v>41</v>
      </c>
      <c r="G292" t="s">
        <v>27</v>
      </c>
      <c r="H292" t="s">
        <v>43</v>
      </c>
      <c r="I292" t="s">
        <v>110</v>
      </c>
      <c r="J292" t="s">
        <v>61</v>
      </c>
      <c r="K292" t="s">
        <v>165</v>
      </c>
      <c r="L292" t="s">
        <v>80</v>
      </c>
      <c r="M292" t="s">
        <v>46</v>
      </c>
      <c r="N292">
        <v>6</v>
      </c>
      <c r="O292" t="s">
        <v>90</v>
      </c>
      <c r="P292" t="s">
        <v>47</v>
      </c>
      <c r="Q292" t="s">
        <v>36</v>
      </c>
      <c r="R292" t="s">
        <v>49</v>
      </c>
      <c r="S292" t="s">
        <v>38</v>
      </c>
      <c r="T292">
        <v>12</v>
      </c>
      <c r="U292">
        <v>96911</v>
      </c>
      <c r="V292">
        <v>1</v>
      </c>
      <c r="W292">
        <v>0</v>
      </c>
      <c r="X292">
        <v>0</v>
      </c>
      <c r="Y292">
        <f>IF(tbl_Incidents[[#This Row],[Lost_Time_Days]]&gt;0, 1, 0)</f>
        <v>1</v>
      </c>
      <c r="Z292" s="1">
        <f>DATE(tbl_Incidents[[#This Row],[Year]], tbl_Incidents[[#This Row],[Month]], 1)</f>
        <v>44713</v>
      </c>
      <c r="AA292" t="str">
        <f t="shared" si="4"/>
        <v>Thunderbird Mine|2022-06</v>
      </c>
    </row>
    <row r="293" spans="1:27" x14ac:dyDescent="0.35">
      <c r="A293" t="s">
        <v>391</v>
      </c>
      <c r="B293" s="1">
        <v>44665</v>
      </c>
      <c r="C293">
        <v>2022</v>
      </c>
      <c r="D293">
        <v>4</v>
      </c>
      <c r="E293" t="s">
        <v>40</v>
      </c>
      <c r="F293" t="s">
        <v>41</v>
      </c>
      <c r="G293" t="s">
        <v>42</v>
      </c>
      <c r="H293" t="s">
        <v>73</v>
      </c>
      <c r="I293" t="s">
        <v>60</v>
      </c>
      <c r="J293" t="s">
        <v>61</v>
      </c>
      <c r="K293" t="s">
        <v>139</v>
      </c>
      <c r="L293" t="s">
        <v>103</v>
      </c>
      <c r="M293" t="s">
        <v>46</v>
      </c>
      <c r="N293">
        <v>0</v>
      </c>
      <c r="O293" t="s">
        <v>75</v>
      </c>
      <c r="P293" t="s">
        <v>91</v>
      </c>
      <c r="Q293" t="s">
        <v>81</v>
      </c>
      <c r="R293" t="s">
        <v>57</v>
      </c>
      <c r="S293" t="s">
        <v>38</v>
      </c>
      <c r="T293">
        <v>8</v>
      </c>
      <c r="U293">
        <v>46505</v>
      </c>
      <c r="V293">
        <v>1</v>
      </c>
      <c r="W293">
        <v>0</v>
      </c>
      <c r="X293">
        <v>0</v>
      </c>
      <c r="Y293">
        <f>IF(tbl_Incidents[[#This Row],[Lost_Time_Days]]&gt;0, 1, 0)</f>
        <v>0</v>
      </c>
      <c r="Z293" s="1">
        <f>DATE(tbl_Incidents[[#This Row],[Year]], tbl_Incidents[[#This Row],[Month]], 1)</f>
        <v>44652</v>
      </c>
      <c r="AA293" t="str">
        <f t="shared" si="4"/>
        <v>Darwin Port Facility|2022-04</v>
      </c>
    </row>
    <row r="294" spans="1:27" x14ac:dyDescent="0.35">
      <c r="A294" t="s">
        <v>392</v>
      </c>
      <c r="B294" s="1">
        <v>44964</v>
      </c>
      <c r="C294">
        <v>2023</v>
      </c>
      <c r="D294">
        <v>2</v>
      </c>
      <c r="E294" t="s">
        <v>52</v>
      </c>
      <c r="F294" t="s">
        <v>53</v>
      </c>
      <c r="G294" t="s">
        <v>78</v>
      </c>
      <c r="H294" t="s">
        <v>86</v>
      </c>
      <c r="I294" t="s">
        <v>98</v>
      </c>
      <c r="J294" t="s">
        <v>30</v>
      </c>
      <c r="K294" t="s">
        <v>31</v>
      </c>
      <c r="L294" t="s">
        <v>93</v>
      </c>
      <c r="M294" t="s">
        <v>33</v>
      </c>
      <c r="N294">
        <v>0</v>
      </c>
      <c r="O294" t="s">
        <v>34</v>
      </c>
      <c r="P294" t="s">
        <v>35</v>
      </c>
      <c r="Q294" t="s">
        <v>64</v>
      </c>
      <c r="R294" t="s">
        <v>57</v>
      </c>
      <c r="S294" t="s">
        <v>38</v>
      </c>
      <c r="T294">
        <v>12</v>
      </c>
      <c r="U294">
        <v>102957</v>
      </c>
      <c r="V294">
        <v>0</v>
      </c>
      <c r="W294">
        <v>0</v>
      </c>
      <c r="X294">
        <v>0</v>
      </c>
      <c r="Y294">
        <f>IF(tbl_Incidents[[#This Row],[Lost_Time_Days]]&gt;0, 1, 0)</f>
        <v>0</v>
      </c>
      <c r="Z294" s="1">
        <f>DATE(tbl_Incidents[[#This Row],[Year]], tbl_Incidents[[#This Row],[Month]], 1)</f>
        <v>44958</v>
      </c>
      <c r="AA294" t="str">
        <f t="shared" si="4"/>
        <v>Broome Logistics Hub|2023-02</v>
      </c>
    </row>
    <row r="295" spans="1:27" x14ac:dyDescent="0.35">
      <c r="A295" t="s">
        <v>393</v>
      </c>
      <c r="B295" s="1">
        <v>44766</v>
      </c>
      <c r="C295">
        <v>2022</v>
      </c>
      <c r="D295">
        <v>7</v>
      </c>
      <c r="E295" t="s">
        <v>85</v>
      </c>
      <c r="F295" t="s">
        <v>67</v>
      </c>
      <c r="G295" t="s">
        <v>27</v>
      </c>
      <c r="H295" t="s">
        <v>73</v>
      </c>
      <c r="I295" t="s">
        <v>29</v>
      </c>
      <c r="J295" t="s">
        <v>30</v>
      </c>
      <c r="K295" t="s">
        <v>31</v>
      </c>
      <c r="L295" t="s">
        <v>93</v>
      </c>
      <c r="M295" t="s">
        <v>46</v>
      </c>
      <c r="N295">
        <v>0</v>
      </c>
      <c r="O295" t="s">
        <v>34</v>
      </c>
      <c r="P295" t="s">
        <v>35</v>
      </c>
      <c r="Q295" t="s">
        <v>64</v>
      </c>
      <c r="R295" t="s">
        <v>57</v>
      </c>
      <c r="S295" t="s">
        <v>38</v>
      </c>
      <c r="T295">
        <v>11</v>
      </c>
      <c r="U295">
        <v>101727</v>
      </c>
      <c r="V295">
        <v>0</v>
      </c>
      <c r="W295">
        <v>0</v>
      </c>
      <c r="X295">
        <v>0</v>
      </c>
      <c r="Y295">
        <f>IF(tbl_Incidents[[#This Row],[Lost_Time_Days]]&gt;0, 1, 0)</f>
        <v>0</v>
      </c>
      <c r="Z295" s="1">
        <f>DATE(tbl_Incidents[[#This Row],[Year]], tbl_Incidents[[#This Row],[Month]], 1)</f>
        <v>44743</v>
      </c>
      <c r="AA295" t="str">
        <f t="shared" si="4"/>
        <v>Thunderbird Mine|2022-07</v>
      </c>
    </row>
    <row r="296" spans="1:27" x14ac:dyDescent="0.35">
      <c r="A296" t="s">
        <v>394</v>
      </c>
      <c r="B296" s="1">
        <v>45238</v>
      </c>
      <c r="C296">
        <v>2023</v>
      </c>
      <c r="D296">
        <v>11</v>
      </c>
      <c r="E296" t="s">
        <v>107</v>
      </c>
      <c r="F296" t="s">
        <v>26</v>
      </c>
      <c r="G296" t="s">
        <v>27</v>
      </c>
      <c r="H296" t="s">
        <v>28</v>
      </c>
      <c r="I296" t="s">
        <v>60</v>
      </c>
      <c r="J296" t="s">
        <v>61</v>
      </c>
      <c r="K296" t="s">
        <v>31</v>
      </c>
      <c r="L296" t="s">
        <v>55</v>
      </c>
      <c r="M296" t="s">
        <v>33</v>
      </c>
      <c r="N296">
        <v>0</v>
      </c>
      <c r="O296" t="s">
        <v>34</v>
      </c>
      <c r="P296" t="s">
        <v>47</v>
      </c>
      <c r="Q296" t="s">
        <v>81</v>
      </c>
      <c r="R296" t="s">
        <v>57</v>
      </c>
      <c r="S296" t="s">
        <v>88</v>
      </c>
      <c r="T296">
        <v>8</v>
      </c>
      <c r="U296">
        <v>74510</v>
      </c>
      <c r="V296">
        <v>1</v>
      </c>
      <c r="W296">
        <v>0</v>
      </c>
      <c r="X296">
        <v>0</v>
      </c>
      <c r="Y296">
        <f>IF(tbl_Incidents[[#This Row],[Lost_Time_Days]]&gt;0, 1, 0)</f>
        <v>0</v>
      </c>
      <c r="Z296" s="1">
        <f>DATE(tbl_Incidents[[#This Row],[Year]], tbl_Incidents[[#This Row],[Month]], 1)</f>
        <v>45231</v>
      </c>
      <c r="AA296" t="str">
        <f t="shared" si="4"/>
        <v>Thunderbird Mine|2023-11</v>
      </c>
    </row>
    <row r="297" spans="1:27" x14ac:dyDescent="0.35">
      <c r="A297" t="s">
        <v>395</v>
      </c>
      <c r="B297" s="1">
        <v>45012</v>
      </c>
      <c r="C297">
        <v>2023</v>
      </c>
      <c r="D297">
        <v>3</v>
      </c>
      <c r="E297" t="s">
        <v>125</v>
      </c>
      <c r="F297" t="s">
        <v>53</v>
      </c>
      <c r="G297" t="s">
        <v>42</v>
      </c>
      <c r="H297" t="s">
        <v>120</v>
      </c>
      <c r="I297" t="s">
        <v>110</v>
      </c>
      <c r="J297" t="s">
        <v>61</v>
      </c>
      <c r="K297" t="s">
        <v>31</v>
      </c>
      <c r="L297" t="s">
        <v>45</v>
      </c>
      <c r="M297" t="s">
        <v>33</v>
      </c>
      <c r="N297">
        <v>9</v>
      </c>
      <c r="O297" t="s">
        <v>70</v>
      </c>
      <c r="P297" t="s">
        <v>35</v>
      </c>
      <c r="Q297" t="s">
        <v>36</v>
      </c>
      <c r="R297" t="s">
        <v>57</v>
      </c>
      <c r="S297" t="s">
        <v>50</v>
      </c>
      <c r="T297">
        <v>11</v>
      </c>
      <c r="U297">
        <v>117296</v>
      </c>
      <c r="V297">
        <v>1</v>
      </c>
      <c r="W297">
        <v>0</v>
      </c>
      <c r="X297">
        <v>0</v>
      </c>
      <c r="Y297">
        <f>IF(tbl_Incidents[[#This Row],[Lost_Time_Days]]&gt;0, 1, 0)</f>
        <v>1</v>
      </c>
      <c r="Z297" s="1">
        <f>DATE(tbl_Incidents[[#This Row],[Year]], tbl_Incidents[[#This Row],[Month]], 1)</f>
        <v>44986</v>
      </c>
      <c r="AA297" t="str">
        <f t="shared" si="4"/>
        <v>Darwin Port Facility|2023-03</v>
      </c>
    </row>
    <row r="298" spans="1:27" x14ac:dyDescent="0.35">
      <c r="A298" t="s">
        <v>396</v>
      </c>
      <c r="B298" s="1">
        <v>44624</v>
      </c>
      <c r="C298">
        <v>2022</v>
      </c>
      <c r="D298">
        <v>3</v>
      </c>
      <c r="E298" t="s">
        <v>125</v>
      </c>
      <c r="F298" t="s">
        <v>53</v>
      </c>
      <c r="G298" t="s">
        <v>105</v>
      </c>
      <c r="H298" t="s">
        <v>43</v>
      </c>
      <c r="I298" t="s">
        <v>54</v>
      </c>
      <c r="J298" t="s">
        <v>30</v>
      </c>
      <c r="K298" t="s">
        <v>31</v>
      </c>
      <c r="L298" t="s">
        <v>55</v>
      </c>
      <c r="M298" t="s">
        <v>46</v>
      </c>
      <c r="N298">
        <v>0</v>
      </c>
      <c r="O298" t="s">
        <v>75</v>
      </c>
      <c r="P298" t="s">
        <v>47</v>
      </c>
      <c r="Q298" t="s">
        <v>76</v>
      </c>
      <c r="R298" t="s">
        <v>57</v>
      </c>
      <c r="S298" t="s">
        <v>88</v>
      </c>
      <c r="T298">
        <v>10</v>
      </c>
      <c r="U298">
        <v>50348</v>
      </c>
      <c r="V298">
        <v>0</v>
      </c>
      <c r="W298">
        <v>0</v>
      </c>
      <c r="X298">
        <v>0</v>
      </c>
      <c r="Y298">
        <f>IF(tbl_Incidents[[#This Row],[Lost_Time_Days]]&gt;0, 1, 0)</f>
        <v>0</v>
      </c>
      <c r="Z298" s="1">
        <f>DATE(tbl_Incidents[[#This Row],[Year]], tbl_Incidents[[#This Row],[Month]], 1)</f>
        <v>44621</v>
      </c>
      <c r="AA298" t="str">
        <f t="shared" si="4"/>
        <v>Katherine Processing Site|2022-03</v>
      </c>
    </row>
    <row r="299" spans="1:27" x14ac:dyDescent="0.35">
      <c r="A299" t="s">
        <v>397</v>
      </c>
      <c r="B299" s="1">
        <v>44966</v>
      </c>
      <c r="C299">
        <v>2023</v>
      </c>
      <c r="D299">
        <v>2</v>
      </c>
      <c r="E299" t="s">
        <v>52</v>
      </c>
      <c r="F299" t="s">
        <v>53</v>
      </c>
      <c r="G299" t="s">
        <v>27</v>
      </c>
      <c r="H299" t="s">
        <v>43</v>
      </c>
      <c r="I299" t="s">
        <v>54</v>
      </c>
      <c r="J299" t="s">
        <v>30</v>
      </c>
      <c r="K299" t="s">
        <v>31</v>
      </c>
      <c r="L299" t="s">
        <v>95</v>
      </c>
      <c r="M299" t="s">
        <v>46</v>
      </c>
      <c r="N299">
        <v>0</v>
      </c>
      <c r="O299" t="s">
        <v>70</v>
      </c>
      <c r="P299" t="s">
        <v>35</v>
      </c>
      <c r="Q299" t="s">
        <v>36</v>
      </c>
      <c r="R299" t="s">
        <v>49</v>
      </c>
      <c r="S299" t="s">
        <v>38</v>
      </c>
      <c r="T299">
        <v>9</v>
      </c>
      <c r="U299">
        <v>67772</v>
      </c>
      <c r="V299">
        <v>0</v>
      </c>
      <c r="W299">
        <v>0</v>
      </c>
      <c r="X299">
        <v>0</v>
      </c>
      <c r="Y299">
        <f>IF(tbl_Incidents[[#This Row],[Lost_Time_Days]]&gt;0, 1, 0)</f>
        <v>0</v>
      </c>
      <c r="Z299" s="1">
        <f>DATE(tbl_Incidents[[#This Row],[Year]], tbl_Incidents[[#This Row],[Month]], 1)</f>
        <v>44958</v>
      </c>
      <c r="AA299" t="str">
        <f t="shared" si="4"/>
        <v>Thunderbird Mine|2023-02</v>
      </c>
    </row>
    <row r="300" spans="1:27" x14ac:dyDescent="0.35">
      <c r="A300" t="s">
        <v>398</v>
      </c>
      <c r="B300" s="1">
        <v>45389</v>
      </c>
      <c r="C300">
        <v>2024</v>
      </c>
      <c r="D300">
        <v>4</v>
      </c>
      <c r="E300" t="s">
        <v>40</v>
      </c>
      <c r="F300" t="s">
        <v>41</v>
      </c>
      <c r="G300" t="s">
        <v>42</v>
      </c>
      <c r="H300" t="s">
        <v>68</v>
      </c>
      <c r="I300" t="s">
        <v>44</v>
      </c>
      <c r="J300" t="s">
        <v>30</v>
      </c>
      <c r="K300" t="s">
        <v>139</v>
      </c>
      <c r="L300" t="s">
        <v>74</v>
      </c>
      <c r="M300" t="s">
        <v>46</v>
      </c>
      <c r="N300">
        <v>0</v>
      </c>
      <c r="O300" t="s">
        <v>63</v>
      </c>
      <c r="P300" t="s">
        <v>35</v>
      </c>
      <c r="Q300" t="s">
        <v>48</v>
      </c>
      <c r="R300" t="s">
        <v>37</v>
      </c>
      <c r="S300" t="s">
        <v>38</v>
      </c>
      <c r="T300">
        <v>10</v>
      </c>
      <c r="U300">
        <v>48783</v>
      </c>
      <c r="V300">
        <v>0</v>
      </c>
      <c r="W300">
        <v>0</v>
      </c>
      <c r="X300">
        <v>0</v>
      </c>
      <c r="Y300">
        <f>IF(tbl_Incidents[[#This Row],[Lost_Time_Days]]&gt;0, 1, 0)</f>
        <v>0</v>
      </c>
      <c r="Z300" s="1">
        <f>DATE(tbl_Incidents[[#This Row],[Year]], tbl_Incidents[[#This Row],[Month]], 1)</f>
        <v>45383</v>
      </c>
      <c r="AA300" t="str">
        <f t="shared" si="4"/>
        <v>Darwin Port Facility|2024-04</v>
      </c>
    </row>
    <row r="301" spans="1:27" x14ac:dyDescent="0.35">
      <c r="A301" t="s">
        <v>399</v>
      </c>
      <c r="B301" s="1">
        <v>44651</v>
      </c>
      <c r="C301">
        <v>2022</v>
      </c>
      <c r="D301">
        <v>3</v>
      </c>
      <c r="E301" t="s">
        <v>125</v>
      </c>
      <c r="F301" t="s">
        <v>53</v>
      </c>
      <c r="G301" t="s">
        <v>105</v>
      </c>
      <c r="H301" t="s">
        <v>43</v>
      </c>
      <c r="I301" t="s">
        <v>110</v>
      </c>
      <c r="J301" t="s">
        <v>61</v>
      </c>
      <c r="K301" t="s">
        <v>117</v>
      </c>
      <c r="L301" t="s">
        <v>32</v>
      </c>
      <c r="M301" t="s">
        <v>46</v>
      </c>
      <c r="N301">
        <v>18</v>
      </c>
      <c r="O301" t="s">
        <v>63</v>
      </c>
      <c r="P301" t="s">
        <v>35</v>
      </c>
      <c r="Q301" t="s">
        <v>76</v>
      </c>
      <c r="R301" t="s">
        <v>37</v>
      </c>
      <c r="S301" t="s">
        <v>50</v>
      </c>
      <c r="T301">
        <v>11</v>
      </c>
      <c r="U301">
        <v>54748</v>
      </c>
      <c r="V301">
        <v>1</v>
      </c>
      <c r="W301">
        <v>0</v>
      </c>
      <c r="X301">
        <v>0</v>
      </c>
      <c r="Y301">
        <f>IF(tbl_Incidents[[#This Row],[Lost_Time_Days]]&gt;0, 1, 0)</f>
        <v>1</v>
      </c>
      <c r="Z301" s="1">
        <f>DATE(tbl_Incidents[[#This Row],[Year]], tbl_Incidents[[#This Row],[Month]], 1)</f>
        <v>44621</v>
      </c>
      <c r="AA301" t="str">
        <f t="shared" si="4"/>
        <v>Katherine Processing Site|2022-03</v>
      </c>
    </row>
    <row r="302" spans="1:27" x14ac:dyDescent="0.35">
      <c r="A302" t="s">
        <v>400</v>
      </c>
      <c r="B302" s="1">
        <v>44713</v>
      </c>
      <c r="C302">
        <v>2022</v>
      </c>
      <c r="D302">
        <v>6</v>
      </c>
      <c r="E302" t="s">
        <v>72</v>
      </c>
      <c r="F302" t="s">
        <v>41</v>
      </c>
      <c r="G302" t="s">
        <v>78</v>
      </c>
      <c r="H302" t="s">
        <v>43</v>
      </c>
      <c r="I302" t="s">
        <v>98</v>
      </c>
      <c r="J302" t="s">
        <v>30</v>
      </c>
      <c r="K302" t="s">
        <v>31</v>
      </c>
      <c r="L302" t="s">
        <v>74</v>
      </c>
      <c r="M302" t="s">
        <v>33</v>
      </c>
      <c r="N302">
        <v>0</v>
      </c>
      <c r="O302" t="s">
        <v>90</v>
      </c>
      <c r="P302" t="s">
        <v>35</v>
      </c>
      <c r="Q302" t="s">
        <v>81</v>
      </c>
      <c r="R302" t="s">
        <v>37</v>
      </c>
      <c r="S302" t="s">
        <v>38</v>
      </c>
      <c r="T302">
        <v>11</v>
      </c>
      <c r="U302">
        <v>74620</v>
      </c>
      <c r="V302">
        <v>0</v>
      </c>
      <c r="W302">
        <v>0</v>
      </c>
      <c r="X302">
        <v>0</v>
      </c>
      <c r="Y302">
        <f>IF(tbl_Incidents[[#This Row],[Lost_Time_Days]]&gt;0, 1, 0)</f>
        <v>0</v>
      </c>
      <c r="Z302" s="1">
        <f>DATE(tbl_Incidents[[#This Row],[Year]], tbl_Incidents[[#This Row],[Month]], 1)</f>
        <v>44713</v>
      </c>
      <c r="AA302" t="str">
        <f t="shared" si="4"/>
        <v>Broome Logistics Hub|2022-06</v>
      </c>
    </row>
    <row r="303" spans="1:27" x14ac:dyDescent="0.35">
      <c r="A303" t="s">
        <v>401</v>
      </c>
      <c r="B303" s="1">
        <v>44954</v>
      </c>
      <c r="C303">
        <v>2023</v>
      </c>
      <c r="D303">
        <v>1</v>
      </c>
      <c r="E303" t="s">
        <v>129</v>
      </c>
      <c r="F303" t="s">
        <v>53</v>
      </c>
      <c r="G303" t="s">
        <v>105</v>
      </c>
      <c r="H303" t="s">
        <v>43</v>
      </c>
      <c r="I303" t="s">
        <v>79</v>
      </c>
      <c r="J303" t="s">
        <v>30</v>
      </c>
      <c r="K303" t="s">
        <v>31</v>
      </c>
      <c r="L303" t="s">
        <v>95</v>
      </c>
      <c r="M303" t="s">
        <v>56</v>
      </c>
      <c r="N303">
        <v>0</v>
      </c>
      <c r="O303" t="s">
        <v>34</v>
      </c>
      <c r="P303" t="s">
        <v>35</v>
      </c>
      <c r="Q303" t="s">
        <v>81</v>
      </c>
      <c r="R303" t="s">
        <v>49</v>
      </c>
      <c r="S303" t="s">
        <v>38</v>
      </c>
      <c r="T303">
        <v>12</v>
      </c>
      <c r="U303">
        <v>119777</v>
      </c>
      <c r="V303">
        <v>0</v>
      </c>
      <c r="W303">
        <v>0</v>
      </c>
      <c r="X303">
        <v>0</v>
      </c>
      <c r="Y303">
        <f>IF(tbl_Incidents[[#This Row],[Lost_Time_Days]]&gt;0, 1, 0)</f>
        <v>0</v>
      </c>
      <c r="Z303" s="1">
        <f>DATE(tbl_Incidents[[#This Row],[Year]], tbl_Incidents[[#This Row],[Month]], 1)</f>
        <v>44927</v>
      </c>
      <c r="AA303" t="str">
        <f t="shared" si="4"/>
        <v>Katherine Processing Site|2023-01</v>
      </c>
    </row>
    <row r="304" spans="1:27" x14ac:dyDescent="0.35">
      <c r="A304" t="s">
        <v>402</v>
      </c>
      <c r="B304" s="1">
        <v>45259</v>
      </c>
      <c r="C304">
        <v>2023</v>
      </c>
      <c r="D304">
        <v>11</v>
      </c>
      <c r="E304" t="s">
        <v>107</v>
      </c>
      <c r="F304" t="s">
        <v>26</v>
      </c>
      <c r="G304" t="s">
        <v>105</v>
      </c>
      <c r="H304" t="s">
        <v>68</v>
      </c>
      <c r="I304" t="s">
        <v>79</v>
      </c>
      <c r="J304" t="s">
        <v>30</v>
      </c>
      <c r="K304" t="s">
        <v>31</v>
      </c>
      <c r="L304" t="s">
        <v>55</v>
      </c>
      <c r="M304" t="s">
        <v>56</v>
      </c>
      <c r="N304">
        <v>0</v>
      </c>
      <c r="O304" t="s">
        <v>75</v>
      </c>
      <c r="P304" t="s">
        <v>35</v>
      </c>
      <c r="Q304" t="s">
        <v>36</v>
      </c>
      <c r="R304" t="s">
        <v>49</v>
      </c>
      <c r="S304" t="s">
        <v>38</v>
      </c>
      <c r="T304">
        <v>10</v>
      </c>
      <c r="U304">
        <v>42651</v>
      </c>
      <c r="V304">
        <v>0</v>
      </c>
      <c r="W304">
        <v>0</v>
      </c>
      <c r="X304">
        <v>0</v>
      </c>
      <c r="Y304">
        <f>IF(tbl_Incidents[[#This Row],[Lost_Time_Days]]&gt;0, 1, 0)</f>
        <v>0</v>
      </c>
      <c r="Z304" s="1">
        <f>DATE(tbl_Incidents[[#This Row],[Year]], tbl_Incidents[[#This Row],[Month]], 1)</f>
        <v>45231</v>
      </c>
      <c r="AA304" t="str">
        <f t="shared" si="4"/>
        <v>Katherine Processing Site|2023-11</v>
      </c>
    </row>
    <row r="305" spans="1:27" x14ac:dyDescent="0.35">
      <c r="A305" t="s">
        <v>403</v>
      </c>
      <c r="B305" s="1">
        <v>44907</v>
      </c>
      <c r="C305">
        <v>2022</v>
      </c>
      <c r="D305">
        <v>12</v>
      </c>
      <c r="E305" t="s">
        <v>123</v>
      </c>
      <c r="F305" t="s">
        <v>26</v>
      </c>
      <c r="G305" t="s">
        <v>59</v>
      </c>
      <c r="H305" t="s">
        <v>120</v>
      </c>
      <c r="I305" t="s">
        <v>54</v>
      </c>
      <c r="J305" t="s">
        <v>30</v>
      </c>
      <c r="K305" t="s">
        <v>31</v>
      </c>
      <c r="L305" t="s">
        <v>32</v>
      </c>
      <c r="M305" t="s">
        <v>56</v>
      </c>
      <c r="N305">
        <v>0</v>
      </c>
      <c r="O305" t="s">
        <v>70</v>
      </c>
      <c r="P305" t="s">
        <v>35</v>
      </c>
      <c r="Q305" t="s">
        <v>48</v>
      </c>
      <c r="R305" t="s">
        <v>57</v>
      </c>
      <c r="S305" t="s">
        <v>38</v>
      </c>
      <c r="T305">
        <v>11</v>
      </c>
      <c r="U305">
        <v>82056</v>
      </c>
      <c r="V305">
        <v>0</v>
      </c>
      <c r="W305">
        <v>0</v>
      </c>
      <c r="X305">
        <v>0</v>
      </c>
      <c r="Y305">
        <f>IF(tbl_Incidents[[#This Row],[Lost_Time_Days]]&gt;0, 1, 0)</f>
        <v>0</v>
      </c>
      <c r="Z305" s="1">
        <f>DATE(tbl_Incidents[[#This Row],[Year]], tbl_Incidents[[#This Row],[Month]], 1)</f>
        <v>44896</v>
      </c>
      <c r="AA305" t="str">
        <f t="shared" si="4"/>
        <v>Pilbara Crusher Plant|2022-12</v>
      </c>
    </row>
    <row r="306" spans="1:27" x14ac:dyDescent="0.35">
      <c r="A306" t="s">
        <v>404</v>
      </c>
      <c r="B306" s="1">
        <v>44837</v>
      </c>
      <c r="C306">
        <v>2022</v>
      </c>
      <c r="D306">
        <v>10</v>
      </c>
      <c r="E306" t="s">
        <v>25</v>
      </c>
      <c r="F306" t="s">
        <v>26</v>
      </c>
      <c r="G306" t="s">
        <v>105</v>
      </c>
      <c r="H306" t="s">
        <v>43</v>
      </c>
      <c r="I306" t="s">
        <v>79</v>
      </c>
      <c r="J306" t="s">
        <v>30</v>
      </c>
      <c r="K306" t="s">
        <v>31</v>
      </c>
      <c r="L306" t="s">
        <v>74</v>
      </c>
      <c r="M306" t="s">
        <v>33</v>
      </c>
      <c r="N306">
        <v>0</v>
      </c>
      <c r="O306" t="s">
        <v>63</v>
      </c>
      <c r="P306" t="s">
        <v>35</v>
      </c>
      <c r="Q306" t="s">
        <v>64</v>
      </c>
      <c r="R306" t="s">
        <v>49</v>
      </c>
      <c r="S306" t="s">
        <v>50</v>
      </c>
      <c r="T306">
        <v>10</v>
      </c>
      <c r="U306">
        <v>47367</v>
      </c>
      <c r="V306">
        <v>0</v>
      </c>
      <c r="W306">
        <v>0</v>
      </c>
      <c r="X306">
        <v>0</v>
      </c>
      <c r="Y306">
        <f>IF(tbl_Incidents[[#This Row],[Lost_Time_Days]]&gt;0, 1, 0)</f>
        <v>0</v>
      </c>
      <c r="Z306" s="1">
        <f>DATE(tbl_Incidents[[#This Row],[Year]], tbl_Incidents[[#This Row],[Month]], 1)</f>
        <v>44835</v>
      </c>
      <c r="AA306" t="str">
        <f t="shared" si="4"/>
        <v>Katherine Processing Site|2022-10</v>
      </c>
    </row>
    <row r="307" spans="1:27" x14ac:dyDescent="0.35">
      <c r="A307" t="s">
        <v>405</v>
      </c>
      <c r="B307" s="1">
        <v>45089</v>
      </c>
      <c r="C307">
        <v>2023</v>
      </c>
      <c r="D307">
        <v>6</v>
      </c>
      <c r="E307" t="s">
        <v>72</v>
      </c>
      <c r="F307" t="s">
        <v>41</v>
      </c>
      <c r="G307" t="s">
        <v>42</v>
      </c>
      <c r="H307" t="s">
        <v>68</v>
      </c>
      <c r="I307" t="s">
        <v>54</v>
      </c>
      <c r="J307" t="s">
        <v>30</v>
      </c>
      <c r="K307" t="s">
        <v>31</v>
      </c>
      <c r="L307" t="s">
        <v>32</v>
      </c>
      <c r="M307" t="s">
        <v>46</v>
      </c>
      <c r="N307">
        <v>0</v>
      </c>
      <c r="O307" t="s">
        <v>90</v>
      </c>
      <c r="P307" t="s">
        <v>47</v>
      </c>
      <c r="Q307" t="s">
        <v>48</v>
      </c>
      <c r="R307" t="s">
        <v>37</v>
      </c>
      <c r="S307" t="s">
        <v>50</v>
      </c>
      <c r="T307">
        <v>8</v>
      </c>
      <c r="U307">
        <v>62772</v>
      </c>
      <c r="V307">
        <v>0</v>
      </c>
      <c r="W307">
        <v>0</v>
      </c>
      <c r="X307">
        <v>0</v>
      </c>
      <c r="Y307">
        <f>IF(tbl_Incidents[[#This Row],[Lost_Time_Days]]&gt;0, 1, 0)</f>
        <v>0</v>
      </c>
      <c r="Z307" s="1">
        <f>DATE(tbl_Incidents[[#This Row],[Year]], tbl_Incidents[[#This Row],[Month]], 1)</f>
        <v>45078</v>
      </c>
      <c r="AA307" t="str">
        <f t="shared" si="4"/>
        <v>Darwin Port Facility|2023-06</v>
      </c>
    </row>
    <row r="308" spans="1:27" x14ac:dyDescent="0.35">
      <c r="A308" t="s">
        <v>406</v>
      </c>
      <c r="B308" s="1">
        <v>44759</v>
      </c>
      <c r="C308">
        <v>2022</v>
      </c>
      <c r="D308">
        <v>7</v>
      </c>
      <c r="E308" t="s">
        <v>85</v>
      </c>
      <c r="F308" t="s">
        <v>67</v>
      </c>
      <c r="G308" t="s">
        <v>42</v>
      </c>
      <c r="H308" t="s">
        <v>68</v>
      </c>
      <c r="I308" t="s">
        <v>54</v>
      </c>
      <c r="J308" t="s">
        <v>30</v>
      </c>
      <c r="K308" t="s">
        <v>31</v>
      </c>
      <c r="L308" t="s">
        <v>100</v>
      </c>
      <c r="M308" t="s">
        <v>33</v>
      </c>
      <c r="N308">
        <v>0</v>
      </c>
      <c r="O308" t="s">
        <v>63</v>
      </c>
      <c r="P308" t="s">
        <v>35</v>
      </c>
      <c r="Q308" t="s">
        <v>81</v>
      </c>
      <c r="R308" t="s">
        <v>57</v>
      </c>
      <c r="S308" t="s">
        <v>38</v>
      </c>
      <c r="T308">
        <v>10</v>
      </c>
      <c r="U308">
        <v>100846</v>
      </c>
      <c r="V308">
        <v>0</v>
      </c>
      <c r="W308">
        <v>0</v>
      </c>
      <c r="X308">
        <v>0</v>
      </c>
      <c r="Y308">
        <f>IF(tbl_Incidents[[#This Row],[Lost_Time_Days]]&gt;0, 1, 0)</f>
        <v>0</v>
      </c>
      <c r="Z308" s="1">
        <f>DATE(tbl_Incidents[[#This Row],[Year]], tbl_Incidents[[#This Row],[Month]], 1)</f>
        <v>44743</v>
      </c>
      <c r="AA308" t="str">
        <f t="shared" si="4"/>
        <v>Darwin Port Facility|2022-07</v>
      </c>
    </row>
    <row r="309" spans="1:27" x14ac:dyDescent="0.35">
      <c r="A309" t="s">
        <v>407</v>
      </c>
      <c r="B309" s="1">
        <v>45079</v>
      </c>
      <c r="C309">
        <v>2023</v>
      </c>
      <c r="D309">
        <v>6</v>
      </c>
      <c r="E309" t="s">
        <v>72</v>
      </c>
      <c r="F309" t="s">
        <v>41</v>
      </c>
      <c r="G309" t="s">
        <v>27</v>
      </c>
      <c r="H309" t="s">
        <v>28</v>
      </c>
      <c r="I309" t="s">
        <v>110</v>
      </c>
      <c r="J309" t="s">
        <v>61</v>
      </c>
      <c r="K309" t="s">
        <v>147</v>
      </c>
      <c r="L309" t="s">
        <v>100</v>
      </c>
      <c r="M309" t="s">
        <v>56</v>
      </c>
      <c r="N309">
        <v>21</v>
      </c>
      <c r="O309" t="s">
        <v>63</v>
      </c>
      <c r="P309" t="s">
        <v>47</v>
      </c>
      <c r="Q309" t="s">
        <v>48</v>
      </c>
      <c r="R309" t="s">
        <v>49</v>
      </c>
      <c r="S309" t="s">
        <v>50</v>
      </c>
      <c r="T309">
        <v>12</v>
      </c>
      <c r="U309">
        <v>85843</v>
      </c>
      <c r="V309">
        <v>1</v>
      </c>
      <c r="W309">
        <v>0</v>
      </c>
      <c r="X309">
        <v>0</v>
      </c>
      <c r="Y309">
        <f>IF(tbl_Incidents[[#This Row],[Lost_Time_Days]]&gt;0, 1, 0)</f>
        <v>1</v>
      </c>
      <c r="Z309" s="1">
        <f>DATE(tbl_Incidents[[#This Row],[Year]], tbl_Incidents[[#This Row],[Month]], 1)</f>
        <v>45078</v>
      </c>
      <c r="AA309" t="str">
        <f t="shared" si="4"/>
        <v>Thunderbird Mine|2023-06</v>
      </c>
    </row>
    <row r="310" spans="1:27" x14ac:dyDescent="0.35">
      <c r="A310" t="s">
        <v>408</v>
      </c>
      <c r="B310" s="1">
        <v>45419</v>
      </c>
      <c r="C310">
        <v>2024</v>
      </c>
      <c r="D310">
        <v>5</v>
      </c>
      <c r="E310" t="s">
        <v>109</v>
      </c>
      <c r="F310" t="s">
        <v>41</v>
      </c>
      <c r="G310" t="s">
        <v>27</v>
      </c>
      <c r="H310" t="s">
        <v>120</v>
      </c>
      <c r="I310" t="s">
        <v>60</v>
      </c>
      <c r="J310" t="s">
        <v>61</v>
      </c>
      <c r="K310" t="s">
        <v>147</v>
      </c>
      <c r="L310" t="s">
        <v>55</v>
      </c>
      <c r="M310" t="s">
        <v>33</v>
      </c>
      <c r="N310">
        <v>0</v>
      </c>
      <c r="O310" t="s">
        <v>34</v>
      </c>
      <c r="P310" t="s">
        <v>35</v>
      </c>
      <c r="Q310" t="s">
        <v>48</v>
      </c>
      <c r="R310" t="s">
        <v>57</v>
      </c>
      <c r="S310" t="s">
        <v>38</v>
      </c>
      <c r="T310">
        <v>10</v>
      </c>
      <c r="U310">
        <v>93674</v>
      </c>
      <c r="V310">
        <v>1</v>
      </c>
      <c r="W310">
        <v>0</v>
      </c>
      <c r="X310">
        <v>0</v>
      </c>
      <c r="Y310">
        <f>IF(tbl_Incidents[[#This Row],[Lost_Time_Days]]&gt;0, 1, 0)</f>
        <v>0</v>
      </c>
      <c r="Z310" s="1">
        <f>DATE(tbl_Incidents[[#This Row],[Year]], tbl_Incidents[[#This Row],[Month]], 1)</f>
        <v>45413</v>
      </c>
      <c r="AA310" t="str">
        <f t="shared" si="4"/>
        <v>Thunderbird Mine|2024-05</v>
      </c>
    </row>
    <row r="311" spans="1:27" x14ac:dyDescent="0.35">
      <c r="A311" t="s">
        <v>409</v>
      </c>
      <c r="B311" s="1">
        <v>45087</v>
      </c>
      <c r="C311">
        <v>2023</v>
      </c>
      <c r="D311">
        <v>6</v>
      </c>
      <c r="E311" t="s">
        <v>72</v>
      </c>
      <c r="F311" t="s">
        <v>41</v>
      </c>
      <c r="G311" t="s">
        <v>27</v>
      </c>
      <c r="H311" t="s">
        <v>86</v>
      </c>
      <c r="I311" t="s">
        <v>29</v>
      </c>
      <c r="J311" t="s">
        <v>30</v>
      </c>
      <c r="K311" t="s">
        <v>31</v>
      </c>
      <c r="L311" t="s">
        <v>93</v>
      </c>
      <c r="M311" t="s">
        <v>46</v>
      </c>
      <c r="N311">
        <v>0</v>
      </c>
      <c r="O311" t="s">
        <v>34</v>
      </c>
      <c r="P311" t="s">
        <v>35</v>
      </c>
      <c r="Q311" t="s">
        <v>48</v>
      </c>
      <c r="R311" t="s">
        <v>57</v>
      </c>
      <c r="S311" t="s">
        <v>50</v>
      </c>
      <c r="T311">
        <v>10</v>
      </c>
      <c r="U311">
        <v>76094</v>
      </c>
      <c r="V311">
        <v>0</v>
      </c>
      <c r="W311">
        <v>0</v>
      </c>
      <c r="X311">
        <v>0</v>
      </c>
      <c r="Y311">
        <f>IF(tbl_Incidents[[#This Row],[Lost_Time_Days]]&gt;0, 1, 0)</f>
        <v>0</v>
      </c>
      <c r="Z311" s="1">
        <f>DATE(tbl_Incidents[[#This Row],[Year]], tbl_Incidents[[#This Row],[Month]], 1)</f>
        <v>45078</v>
      </c>
      <c r="AA311" t="str">
        <f t="shared" si="4"/>
        <v>Thunderbird Mine|2023-06</v>
      </c>
    </row>
    <row r="312" spans="1:27" x14ac:dyDescent="0.35">
      <c r="A312" t="s">
        <v>410</v>
      </c>
      <c r="B312" s="1">
        <v>44947</v>
      </c>
      <c r="C312">
        <v>2023</v>
      </c>
      <c r="D312">
        <v>1</v>
      </c>
      <c r="E312" t="s">
        <v>129</v>
      </c>
      <c r="F312" t="s">
        <v>53</v>
      </c>
      <c r="G312" t="s">
        <v>59</v>
      </c>
      <c r="H312" t="s">
        <v>86</v>
      </c>
      <c r="I312" t="s">
        <v>54</v>
      </c>
      <c r="J312" t="s">
        <v>30</v>
      </c>
      <c r="K312" t="s">
        <v>31</v>
      </c>
      <c r="L312" t="s">
        <v>32</v>
      </c>
      <c r="M312" t="s">
        <v>33</v>
      </c>
      <c r="N312">
        <v>0</v>
      </c>
      <c r="O312" t="s">
        <v>63</v>
      </c>
      <c r="P312" t="s">
        <v>91</v>
      </c>
      <c r="Q312" t="s">
        <v>76</v>
      </c>
      <c r="R312" t="s">
        <v>37</v>
      </c>
      <c r="S312" t="s">
        <v>88</v>
      </c>
      <c r="T312">
        <v>12</v>
      </c>
      <c r="U312">
        <v>53410</v>
      </c>
      <c r="V312">
        <v>0</v>
      </c>
      <c r="W312">
        <v>0</v>
      </c>
      <c r="X312">
        <v>0</v>
      </c>
      <c r="Y312">
        <f>IF(tbl_Incidents[[#This Row],[Lost_Time_Days]]&gt;0, 1, 0)</f>
        <v>0</v>
      </c>
      <c r="Z312" s="1">
        <f>DATE(tbl_Incidents[[#This Row],[Year]], tbl_Incidents[[#This Row],[Month]], 1)</f>
        <v>44927</v>
      </c>
      <c r="AA312" t="str">
        <f t="shared" si="4"/>
        <v>Pilbara Crusher Plant|2023-01</v>
      </c>
    </row>
    <row r="313" spans="1:27" x14ac:dyDescent="0.35">
      <c r="A313" t="s">
        <v>411</v>
      </c>
      <c r="B313" s="1">
        <v>44569</v>
      </c>
      <c r="C313">
        <v>2022</v>
      </c>
      <c r="D313">
        <v>1</v>
      </c>
      <c r="E313" t="s">
        <v>129</v>
      </c>
      <c r="F313" t="s">
        <v>53</v>
      </c>
      <c r="G313" t="s">
        <v>59</v>
      </c>
      <c r="H313" t="s">
        <v>43</v>
      </c>
      <c r="I313" t="s">
        <v>98</v>
      </c>
      <c r="J313" t="s">
        <v>30</v>
      </c>
      <c r="K313" t="s">
        <v>31</v>
      </c>
      <c r="L313" t="s">
        <v>95</v>
      </c>
      <c r="M313" t="s">
        <v>46</v>
      </c>
      <c r="N313">
        <v>0</v>
      </c>
      <c r="O313" t="s">
        <v>34</v>
      </c>
      <c r="P313" t="s">
        <v>91</v>
      </c>
      <c r="Q313" t="s">
        <v>36</v>
      </c>
      <c r="R313" t="s">
        <v>49</v>
      </c>
      <c r="S313" t="s">
        <v>38</v>
      </c>
      <c r="T313">
        <v>10</v>
      </c>
      <c r="U313">
        <v>76239</v>
      </c>
      <c r="V313">
        <v>0</v>
      </c>
      <c r="W313">
        <v>0</v>
      </c>
      <c r="X313">
        <v>0</v>
      </c>
      <c r="Y313">
        <f>IF(tbl_Incidents[[#This Row],[Lost_Time_Days]]&gt;0, 1, 0)</f>
        <v>0</v>
      </c>
      <c r="Z313" s="1">
        <f>DATE(tbl_Incidents[[#This Row],[Year]], tbl_Incidents[[#This Row],[Month]], 1)</f>
        <v>44562</v>
      </c>
      <c r="AA313" t="str">
        <f t="shared" si="4"/>
        <v>Pilbara Crusher Plant|2022-01</v>
      </c>
    </row>
    <row r="314" spans="1:27" x14ac:dyDescent="0.35">
      <c r="A314" t="s">
        <v>412</v>
      </c>
      <c r="B314" s="1">
        <v>45217</v>
      </c>
      <c r="C314">
        <v>2023</v>
      </c>
      <c r="D314">
        <v>10</v>
      </c>
      <c r="E314" t="s">
        <v>25</v>
      </c>
      <c r="F314" t="s">
        <v>26</v>
      </c>
      <c r="G314" t="s">
        <v>59</v>
      </c>
      <c r="H314" t="s">
        <v>120</v>
      </c>
      <c r="I314" t="s">
        <v>60</v>
      </c>
      <c r="J314" t="s">
        <v>61</v>
      </c>
      <c r="K314" t="s">
        <v>62</v>
      </c>
      <c r="L314" t="s">
        <v>100</v>
      </c>
      <c r="M314" t="s">
        <v>33</v>
      </c>
      <c r="N314">
        <v>0</v>
      </c>
      <c r="O314" t="s">
        <v>90</v>
      </c>
      <c r="P314" t="s">
        <v>35</v>
      </c>
      <c r="Q314" t="s">
        <v>36</v>
      </c>
      <c r="R314" t="s">
        <v>37</v>
      </c>
      <c r="S314" t="s">
        <v>88</v>
      </c>
      <c r="T314">
        <v>10</v>
      </c>
      <c r="U314">
        <v>58340</v>
      </c>
      <c r="V314">
        <v>1</v>
      </c>
      <c r="W314">
        <v>0</v>
      </c>
      <c r="X314">
        <v>0</v>
      </c>
      <c r="Y314">
        <f>IF(tbl_Incidents[[#This Row],[Lost_Time_Days]]&gt;0, 1, 0)</f>
        <v>0</v>
      </c>
      <c r="Z314" s="1">
        <f>DATE(tbl_Incidents[[#This Row],[Year]], tbl_Incidents[[#This Row],[Month]], 1)</f>
        <v>45200</v>
      </c>
      <c r="AA314" t="str">
        <f t="shared" si="4"/>
        <v>Pilbara Crusher Plant|2023-10</v>
      </c>
    </row>
    <row r="315" spans="1:27" x14ac:dyDescent="0.35">
      <c r="A315" t="s">
        <v>413</v>
      </c>
      <c r="B315" s="1">
        <v>45300</v>
      </c>
      <c r="C315">
        <v>2024</v>
      </c>
      <c r="D315">
        <v>1</v>
      </c>
      <c r="E315" t="s">
        <v>129</v>
      </c>
      <c r="F315" t="s">
        <v>53</v>
      </c>
      <c r="G315" t="s">
        <v>105</v>
      </c>
      <c r="H315" t="s">
        <v>120</v>
      </c>
      <c r="I315" t="s">
        <v>29</v>
      </c>
      <c r="J315" t="s">
        <v>30</v>
      </c>
      <c r="K315" t="s">
        <v>31</v>
      </c>
      <c r="L315" t="s">
        <v>32</v>
      </c>
      <c r="M315" t="s">
        <v>56</v>
      </c>
      <c r="N315">
        <v>0</v>
      </c>
      <c r="O315" t="s">
        <v>63</v>
      </c>
      <c r="P315" t="s">
        <v>47</v>
      </c>
      <c r="Q315" t="s">
        <v>36</v>
      </c>
      <c r="R315" t="s">
        <v>37</v>
      </c>
      <c r="S315" t="s">
        <v>50</v>
      </c>
      <c r="T315">
        <v>9</v>
      </c>
      <c r="U315">
        <v>84979</v>
      </c>
      <c r="V315">
        <v>0</v>
      </c>
      <c r="W315">
        <v>0</v>
      </c>
      <c r="X315">
        <v>1</v>
      </c>
      <c r="Y315">
        <f>IF(tbl_Incidents[[#This Row],[Lost_Time_Days]]&gt;0, 1, 0)</f>
        <v>0</v>
      </c>
      <c r="Z315" s="1">
        <f>DATE(tbl_Incidents[[#This Row],[Year]], tbl_Incidents[[#This Row],[Month]], 1)</f>
        <v>45292</v>
      </c>
      <c r="AA315" t="str">
        <f t="shared" si="4"/>
        <v>Katherine Processing Site|2024-01</v>
      </c>
    </row>
    <row r="316" spans="1:27" x14ac:dyDescent="0.35">
      <c r="A316" t="s">
        <v>414</v>
      </c>
      <c r="B316" s="1">
        <v>44789</v>
      </c>
      <c r="C316">
        <v>2022</v>
      </c>
      <c r="D316">
        <v>8</v>
      </c>
      <c r="E316" t="s">
        <v>66</v>
      </c>
      <c r="F316" t="s">
        <v>67</v>
      </c>
      <c r="G316" t="s">
        <v>78</v>
      </c>
      <c r="H316" t="s">
        <v>28</v>
      </c>
      <c r="I316" t="s">
        <v>79</v>
      </c>
      <c r="J316" t="s">
        <v>30</v>
      </c>
      <c r="K316" t="s">
        <v>31</v>
      </c>
      <c r="L316" t="s">
        <v>83</v>
      </c>
      <c r="M316" t="s">
        <v>46</v>
      </c>
      <c r="N316">
        <v>0</v>
      </c>
      <c r="O316" t="s">
        <v>34</v>
      </c>
      <c r="P316" t="s">
        <v>91</v>
      </c>
      <c r="Q316" t="s">
        <v>48</v>
      </c>
      <c r="R316" t="s">
        <v>37</v>
      </c>
      <c r="S316" t="s">
        <v>38</v>
      </c>
      <c r="T316">
        <v>10</v>
      </c>
      <c r="U316">
        <v>52793</v>
      </c>
      <c r="V316">
        <v>0</v>
      </c>
      <c r="W316">
        <v>0</v>
      </c>
      <c r="X316">
        <v>0</v>
      </c>
      <c r="Y316">
        <f>IF(tbl_Incidents[[#This Row],[Lost_Time_Days]]&gt;0, 1, 0)</f>
        <v>0</v>
      </c>
      <c r="Z316" s="1">
        <f>DATE(tbl_Incidents[[#This Row],[Year]], tbl_Incidents[[#This Row],[Month]], 1)</f>
        <v>44774</v>
      </c>
      <c r="AA316" t="str">
        <f t="shared" si="4"/>
        <v>Broome Logistics Hub|2022-08</v>
      </c>
    </row>
    <row r="317" spans="1:27" x14ac:dyDescent="0.35">
      <c r="A317" t="s">
        <v>415</v>
      </c>
      <c r="B317" s="1">
        <v>45044</v>
      </c>
      <c r="C317">
        <v>2023</v>
      </c>
      <c r="D317">
        <v>4</v>
      </c>
      <c r="E317" t="s">
        <v>40</v>
      </c>
      <c r="F317" t="s">
        <v>41</v>
      </c>
      <c r="G317" t="s">
        <v>59</v>
      </c>
      <c r="H317" t="s">
        <v>28</v>
      </c>
      <c r="I317" t="s">
        <v>44</v>
      </c>
      <c r="J317" t="s">
        <v>30</v>
      </c>
      <c r="K317" t="s">
        <v>31</v>
      </c>
      <c r="L317" t="s">
        <v>93</v>
      </c>
      <c r="M317" t="s">
        <v>46</v>
      </c>
      <c r="N317">
        <v>0</v>
      </c>
      <c r="O317" t="s">
        <v>34</v>
      </c>
      <c r="P317" t="s">
        <v>35</v>
      </c>
      <c r="Q317" t="s">
        <v>48</v>
      </c>
      <c r="R317" t="s">
        <v>57</v>
      </c>
      <c r="S317" t="s">
        <v>38</v>
      </c>
      <c r="T317">
        <v>10</v>
      </c>
      <c r="U317">
        <v>95112</v>
      </c>
      <c r="V317">
        <v>0</v>
      </c>
      <c r="W317">
        <v>0</v>
      </c>
      <c r="X317">
        <v>0</v>
      </c>
      <c r="Y317">
        <f>IF(tbl_Incidents[[#This Row],[Lost_Time_Days]]&gt;0, 1, 0)</f>
        <v>0</v>
      </c>
      <c r="Z317" s="1">
        <f>DATE(tbl_Incidents[[#This Row],[Year]], tbl_Incidents[[#This Row],[Month]], 1)</f>
        <v>45017</v>
      </c>
      <c r="AA317" t="str">
        <f t="shared" si="4"/>
        <v>Pilbara Crusher Plant|2023-04</v>
      </c>
    </row>
    <row r="318" spans="1:27" x14ac:dyDescent="0.35">
      <c r="A318" t="s">
        <v>416</v>
      </c>
      <c r="B318" s="1">
        <v>45369</v>
      </c>
      <c r="C318">
        <v>2024</v>
      </c>
      <c r="D318">
        <v>3</v>
      </c>
      <c r="E318" t="s">
        <v>125</v>
      </c>
      <c r="F318" t="s">
        <v>53</v>
      </c>
      <c r="G318" t="s">
        <v>59</v>
      </c>
      <c r="H318" t="s">
        <v>120</v>
      </c>
      <c r="I318" t="s">
        <v>60</v>
      </c>
      <c r="J318" t="s">
        <v>61</v>
      </c>
      <c r="K318" t="s">
        <v>31</v>
      </c>
      <c r="L318" t="s">
        <v>32</v>
      </c>
      <c r="M318" t="s">
        <v>56</v>
      </c>
      <c r="N318">
        <v>0</v>
      </c>
      <c r="O318" t="s">
        <v>70</v>
      </c>
      <c r="P318" t="s">
        <v>35</v>
      </c>
      <c r="Q318" t="s">
        <v>64</v>
      </c>
      <c r="R318" t="s">
        <v>57</v>
      </c>
      <c r="S318" t="s">
        <v>50</v>
      </c>
      <c r="T318">
        <v>12</v>
      </c>
      <c r="U318">
        <v>49334</v>
      </c>
      <c r="V318">
        <v>1</v>
      </c>
      <c r="W318">
        <v>0</v>
      </c>
      <c r="X318">
        <v>0</v>
      </c>
      <c r="Y318">
        <f>IF(tbl_Incidents[[#This Row],[Lost_Time_Days]]&gt;0, 1, 0)</f>
        <v>0</v>
      </c>
      <c r="Z318" s="1">
        <f>DATE(tbl_Incidents[[#This Row],[Year]], tbl_Incidents[[#This Row],[Month]], 1)</f>
        <v>45352</v>
      </c>
      <c r="AA318" t="str">
        <f t="shared" si="4"/>
        <v>Pilbara Crusher Plant|2024-03</v>
      </c>
    </row>
    <row r="319" spans="1:27" x14ac:dyDescent="0.35">
      <c r="A319" t="s">
        <v>417</v>
      </c>
      <c r="B319" s="1">
        <v>45045</v>
      </c>
      <c r="C319">
        <v>2023</v>
      </c>
      <c r="D319">
        <v>4</v>
      </c>
      <c r="E319" t="s">
        <v>40</v>
      </c>
      <c r="F319" t="s">
        <v>41</v>
      </c>
      <c r="G319" t="s">
        <v>78</v>
      </c>
      <c r="H319" t="s">
        <v>68</v>
      </c>
      <c r="I319" t="s">
        <v>44</v>
      </c>
      <c r="J319" t="s">
        <v>30</v>
      </c>
      <c r="K319" t="s">
        <v>139</v>
      </c>
      <c r="L319" t="s">
        <v>103</v>
      </c>
      <c r="M319" t="s">
        <v>56</v>
      </c>
      <c r="N319">
        <v>0</v>
      </c>
      <c r="O319" t="s">
        <v>63</v>
      </c>
      <c r="P319" t="s">
        <v>35</v>
      </c>
      <c r="Q319" t="s">
        <v>48</v>
      </c>
      <c r="R319" t="s">
        <v>57</v>
      </c>
      <c r="S319" t="s">
        <v>38</v>
      </c>
      <c r="T319">
        <v>10</v>
      </c>
      <c r="U319">
        <v>93633</v>
      </c>
      <c r="V319">
        <v>0</v>
      </c>
      <c r="W319">
        <v>0</v>
      </c>
      <c r="X319">
        <v>0</v>
      </c>
      <c r="Y319">
        <f>IF(tbl_Incidents[[#This Row],[Lost_Time_Days]]&gt;0, 1, 0)</f>
        <v>0</v>
      </c>
      <c r="Z319" s="1">
        <f>DATE(tbl_Incidents[[#This Row],[Year]], tbl_Incidents[[#This Row],[Month]], 1)</f>
        <v>45017</v>
      </c>
      <c r="AA319" t="str">
        <f t="shared" si="4"/>
        <v>Broome Logistics Hub|2023-04</v>
      </c>
    </row>
    <row r="320" spans="1:27" x14ac:dyDescent="0.35">
      <c r="A320" t="s">
        <v>418</v>
      </c>
      <c r="B320" s="1">
        <v>45145</v>
      </c>
      <c r="C320">
        <v>2023</v>
      </c>
      <c r="D320">
        <v>8</v>
      </c>
      <c r="E320" t="s">
        <v>66</v>
      </c>
      <c r="F320" t="s">
        <v>67</v>
      </c>
      <c r="G320" t="s">
        <v>59</v>
      </c>
      <c r="H320" t="s">
        <v>28</v>
      </c>
      <c r="I320" t="s">
        <v>110</v>
      </c>
      <c r="J320" t="s">
        <v>61</v>
      </c>
      <c r="K320" t="s">
        <v>112</v>
      </c>
      <c r="L320" t="s">
        <v>74</v>
      </c>
      <c r="M320" t="s">
        <v>56</v>
      </c>
      <c r="N320">
        <v>5</v>
      </c>
      <c r="O320" t="s">
        <v>34</v>
      </c>
      <c r="P320" t="s">
        <v>35</v>
      </c>
      <c r="Q320" t="s">
        <v>81</v>
      </c>
      <c r="R320" t="s">
        <v>57</v>
      </c>
      <c r="S320" t="s">
        <v>38</v>
      </c>
      <c r="T320">
        <v>11</v>
      </c>
      <c r="U320">
        <v>75851</v>
      </c>
      <c r="V320">
        <v>1</v>
      </c>
      <c r="W320">
        <v>0</v>
      </c>
      <c r="X320">
        <v>0</v>
      </c>
      <c r="Y320">
        <f>IF(tbl_Incidents[[#This Row],[Lost_Time_Days]]&gt;0, 1, 0)</f>
        <v>1</v>
      </c>
      <c r="Z320" s="1">
        <f>DATE(tbl_Incidents[[#This Row],[Year]], tbl_Incidents[[#This Row],[Month]], 1)</f>
        <v>45139</v>
      </c>
      <c r="AA320" t="str">
        <f t="shared" si="4"/>
        <v>Pilbara Crusher Plant|2023-08</v>
      </c>
    </row>
    <row r="321" spans="1:27" x14ac:dyDescent="0.35">
      <c r="A321" t="s">
        <v>419</v>
      </c>
      <c r="B321" s="1">
        <v>45354</v>
      </c>
      <c r="C321">
        <v>2024</v>
      </c>
      <c r="D321">
        <v>3</v>
      </c>
      <c r="E321" t="s">
        <v>125</v>
      </c>
      <c r="F321" t="s">
        <v>53</v>
      </c>
      <c r="G321" t="s">
        <v>78</v>
      </c>
      <c r="H321" t="s">
        <v>73</v>
      </c>
      <c r="I321" t="s">
        <v>44</v>
      </c>
      <c r="J321" t="s">
        <v>30</v>
      </c>
      <c r="K321" t="s">
        <v>31</v>
      </c>
      <c r="L321" t="s">
        <v>74</v>
      </c>
      <c r="M321" t="s">
        <v>33</v>
      </c>
      <c r="N321">
        <v>0</v>
      </c>
      <c r="O321" t="s">
        <v>90</v>
      </c>
      <c r="P321" t="s">
        <v>47</v>
      </c>
      <c r="Q321" t="s">
        <v>64</v>
      </c>
      <c r="R321" t="s">
        <v>49</v>
      </c>
      <c r="S321" t="s">
        <v>88</v>
      </c>
      <c r="T321">
        <v>11</v>
      </c>
      <c r="U321">
        <v>90242</v>
      </c>
      <c r="V321">
        <v>0</v>
      </c>
      <c r="W321">
        <v>0</v>
      </c>
      <c r="X321">
        <v>0</v>
      </c>
      <c r="Y321">
        <f>IF(tbl_Incidents[[#This Row],[Lost_Time_Days]]&gt;0, 1, 0)</f>
        <v>0</v>
      </c>
      <c r="Z321" s="1">
        <f>DATE(tbl_Incidents[[#This Row],[Year]], tbl_Incidents[[#This Row],[Month]], 1)</f>
        <v>45352</v>
      </c>
      <c r="AA321" t="str">
        <f t="shared" si="4"/>
        <v>Broome Logistics Hub|2024-03</v>
      </c>
    </row>
    <row r="322" spans="1:27" x14ac:dyDescent="0.35">
      <c r="A322" t="s">
        <v>420</v>
      </c>
      <c r="B322" s="1">
        <v>44566</v>
      </c>
      <c r="C322">
        <v>2022</v>
      </c>
      <c r="D322">
        <v>1</v>
      </c>
      <c r="E322" t="s">
        <v>129</v>
      </c>
      <c r="F322" t="s">
        <v>53</v>
      </c>
      <c r="G322" t="s">
        <v>78</v>
      </c>
      <c r="H322" t="s">
        <v>73</v>
      </c>
      <c r="I322" t="s">
        <v>29</v>
      </c>
      <c r="J322" t="s">
        <v>30</v>
      </c>
      <c r="K322" t="s">
        <v>31</v>
      </c>
      <c r="L322" t="s">
        <v>80</v>
      </c>
      <c r="M322" t="s">
        <v>33</v>
      </c>
      <c r="N322">
        <v>0</v>
      </c>
      <c r="O322" t="s">
        <v>34</v>
      </c>
      <c r="P322" t="s">
        <v>35</v>
      </c>
      <c r="Q322" t="s">
        <v>36</v>
      </c>
      <c r="R322" t="s">
        <v>57</v>
      </c>
      <c r="S322" t="s">
        <v>38</v>
      </c>
      <c r="T322">
        <v>9</v>
      </c>
      <c r="U322">
        <v>85134</v>
      </c>
      <c r="V322">
        <v>0</v>
      </c>
      <c r="W322">
        <v>0</v>
      </c>
      <c r="X322">
        <v>0</v>
      </c>
      <c r="Y322">
        <f>IF(tbl_Incidents[[#This Row],[Lost_Time_Days]]&gt;0, 1, 0)</f>
        <v>0</v>
      </c>
      <c r="Z322" s="1">
        <f>DATE(tbl_Incidents[[#This Row],[Year]], tbl_Incidents[[#This Row],[Month]], 1)</f>
        <v>44562</v>
      </c>
      <c r="AA322" t="str">
        <f t="shared" ref="AA322:AA385" si="5">G322&amp;"|"&amp;TEXT(Z322,"yyyy-mm")</f>
        <v>Broome Logistics Hub|2022-01</v>
      </c>
    </row>
    <row r="323" spans="1:27" x14ac:dyDescent="0.35">
      <c r="A323" t="s">
        <v>421</v>
      </c>
      <c r="B323" s="1">
        <v>44667</v>
      </c>
      <c r="C323">
        <v>2022</v>
      </c>
      <c r="D323">
        <v>4</v>
      </c>
      <c r="E323" t="s">
        <v>40</v>
      </c>
      <c r="F323" t="s">
        <v>41</v>
      </c>
      <c r="G323" t="s">
        <v>78</v>
      </c>
      <c r="H323" t="s">
        <v>120</v>
      </c>
      <c r="I323" t="s">
        <v>110</v>
      </c>
      <c r="J323" t="s">
        <v>61</v>
      </c>
      <c r="K323" t="s">
        <v>112</v>
      </c>
      <c r="L323" t="s">
        <v>74</v>
      </c>
      <c r="M323" t="s">
        <v>33</v>
      </c>
      <c r="N323">
        <v>17</v>
      </c>
      <c r="O323" t="s">
        <v>34</v>
      </c>
      <c r="P323" t="s">
        <v>91</v>
      </c>
      <c r="Q323" t="s">
        <v>64</v>
      </c>
      <c r="R323" t="s">
        <v>37</v>
      </c>
      <c r="S323" t="s">
        <v>50</v>
      </c>
      <c r="T323">
        <v>12</v>
      </c>
      <c r="U323">
        <v>84280</v>
      </c>
      <c r="V323">
        <v>1</v>
      </c>
      <c r="W323">
        <v>0</v>
      </c>
      <c r="X323">
        <v>0</v>
      </c>
      <c r="Y323">
        <f>IF(tbl_Incidents[[#This Row],[Lost_Time_Days]]&gt;0, 1, 0)</f>
        <v>1</v>
      </c>
      <c r="Z323" s="1">
        <f>DATE(tbl_Incidents[[#This Row],[Year]], tbl_Incidents[[#This Row],[Month]], 1)</f>
        <v>44652</v>
      </c>
      <c r="AA323" t="str">
        <f t="shared" si="5"/>
        <v>Broome Logistics Hub|2022-04</v>
      </c>
    </row>
    <row r="324" spans="1:27" x14ac:dyDescent="0.35">
      <c r="A324" t="s">
        <v>422</v>
      </c>
      <c r="B324" s="1">
        <v>45265</v>
      </c>
      <c r="C324">
        <v>2023</v>
      </c>
      <c r="D324">
        <v>12</v>
      </c>
      <c r="E324" t="s">
        <v>123</v>
      </c>
      <c r="F324" t="s">
        <v>26</v>
      </c>
      <c r="G324" t="s">
        <v>59</v>
      </c>
      <c r="H324" t="s">
        <v>86</v>
      </c>
      <c r="I324" t="s">
        <v>44</v>
      </c>
      <c r="J324" t="s">
        <v>30</v>
      </c>
      <c r="K324" t="s">
        <v>117</v>
      </c>
      <c r="L324" t="s">
        <v>100</v>
      </c>
      <c r="M324" t="s">
        <v>33</v>
      </c>
      <c r="N324">
        <v>0</v>
      </c>
      <c r="O324" t="s">
        <v>70</v>
      </c>
      <c r="P324" t="s">
        <v>47</v>
      </c>
      <c r="Q324" t="s">
        <v>36</v>
      </c>
      <c r="R324" t="s">
        <v>57</v>
      </c>
      <c r="S324" t="s">
        <v>38</v>
      </c>
      <c r="T324">
        <v>9</v>
      </c>
      <c r="U324">
        <v>67681</v>
      </c>
      <c r="V324">
        <v>0</v>
      </c>
      <c r="W324">
        <v>0</v>
      </c>
      <c r="X324">
        <v>0</v>
      </c>
      <c r="Y324">
        <f>IF(tbl_Incidents[[#This Row],[Lost_Time_Days]]&gt;0, 1, 0)</f>
        <v>0</v>
      </c>
      <c r="Z324" s="1">
        <f>DATE(tbl_Incidents[[#This Row],[Year]], tbl_Incidents[[#This Row],[Month]], 1)</f>
        <v>45261</v>
      </c>
      <c r="AA324" t="str">
        <f t="shared" si="5"/>
        <v>Pilbara Crusher Plant|2023-12</v>
      </c>
    </row>
    <row r="325" spans="1:27" x14ac:dyDescent="0.35">
      <c r="A325" t="s">
        <v>423</v>
      </c>
      <c r="B325" s="1">
        <v>45313</v>
      </c>
      <c r="C325">
        <v>2024</v>
      </c>
      <c r="D325">
        <v>1</v>
      </c>
      <c r="E325" t="s">
        <v>129</v>
      </c>
      <c r="F325" t="s">
        <v>53</v>
      </c>
      <c r="G325" t="s">
        <v>78</v>
      </c>
      <c r="H325" t="s">
        <v>43</v>
      </c>
      <c r="I325" t="s">
        <v>29</v>
      </c>
      <c r="J325" t="s">
        <v>30</v>
      </c>
      <c r="K325" t="s">
        <v>31</v>
      </c>
      <c r="L325" t="s">
        <v>93</v>
      </c>
      <c r="M325" t="s">
        <v>33</v>
      </c>
      <c r="N325">
        <v>0</v>
      </c>
      <c r="O325" t="s">
        <v>34</v>
      </c>
      <c r="P325" t="s">
        <v>35</v>
      </c>
      <c r="Q325" t="s">
        <v>64</v>
      </c>
      <c r="R325" t="s">
        <v>57</v>
      </c>
      <c r="S325" t="s">
        <v>50</v>
      </c>
      <c r="T325">
        <v>12</v>
      </c>
      <c r="U325">
        <v>46368</v>
      </c>
      <c r="V325">
        <v>0</v>
      </c>
      <c r="W325">
        <v>0</v>
      </c>
      <c r="X325">
        <v>0</v>
      </c>
      <c r="Y325">
        <f>IF(tbl_Incidents[[#This Row],[Lost_Time_Days]]&gt;0, 1, 0)</f>
        <v>0</v>
      </c>
      <c r="Z325" s="1">
        <f>DATE(tbl_Incidents[[#This Row],[Year]], tbl_Incidents[[#This Row],[Month]], 1)</f>
        <v>45292</v>
      </c>
      <c r="AA325" t="str">
        <f t="shared" si="5"/>
        <v>Broome Logistics Hub|2024-01</v>
      </c>
    </row>
    <row r="326" spans="1:27" x14ac:dyDescent="0.35">
      <c r="A326" t="s">
        <v>424</v>
      </c>
      <c r="B326" s="1">
        <v>44611</v>
      </c>
      <c r="C326">
        <v>2022</v>
      </c>
      <c r="D326">
        <v>2</v>
      </c>
      <c r="E326" t="s">
        <v>52</v>
      </c>
      <c r="F326" t="s">
        <v>53</v>
      </c>
      <c r="G326" t="s">
        <v>27</v>
      </c>
      <c r="H326" t="s">
        <v>28</v>
      </c>
      <c r="I326" t="s">
        <v>79</v>
      </c>
      <c r="J326" t="s">
        <v>30</v>
      </c>
      <c r="K326" t="s">
        <v>31</v>
      </c>
      <c r="L326" t="s">
        <v>45</v>
      </c>
      <c r="M326" t="s">
        <v>33</v>
      </c>
      <c r="N326">
        <v>0</v>
      </c>
      <c r="O326" t="s">
        <v>75</v>
      </c>
      <c r="P326" t="s">
        <v>35</v>
      </c>
      <c r="Q326" t="s">
        <v>64</v>
      </c>
      <c r="R326" t="s">
        <v>49</v>
      </c>
      <c r="S326" t="s">
        <v>88</v>
      </c>
      <c r="T326">
        <v>8</v>
      </c>
      <c r="U326">
        <v>111733</v>
      </c>
      <c r="V326">
        <v>0</v>
      </c>
      <c r="W326">
        <v>0</v>
      </c>
      <c r="X326">
        <v>0</v>
      </c>
      <c r="Y326">
        <f>IF(tbl_Incidents[[#This Row],[Lost_Time_Days]]&gt;0, 1, 0)</f>
        <v>0</v>
      </c>
      <c r="Z326" s="1">
        <f>DATE(tbl_Incidents[[#This Row],[Year]], tbl_Incidents[[#This Row],[Month]], 1)</f>
        <v>44593</v>
      </c>
      <c r="AA326" t="str">
        <f t="shared" si="5"/>
        <v>Thunderbird Mine|2022-02</v>
      </c>
    </row>
    <row r="327" spans="1:27" x14ac:dyDescent="0.35">
      <c r="A327" t="s">
        <v>425</v>
      </c>
      <c r="B327" s="1">
        <v>44820</v>
      </c>
      <c r="C327">
        <v>2022</v>
      </c>
      <c r="D327">
        <v>9</v>
      </c>
      <c r="E327" t="s">
        <v>97</v>
      </c>
      <c r="F327" t="s">
        <v>67</v>
      </c>
      <c r="G327" t="s">
        <v>42</v>
      </c>
      <c r="H327" t="s">
        <v>73</v>
      </c>
      <c r="I327" t="s">
        <v>110</v>
      </c>
      <c r="J327" t="s">
        <v>61</v>
      </c>
      <c r="K327" t="s">
        <v>147</v>
      </c>
      <c r="L327" t="s">
        <v>32</v>
      </c>
      <c r="M327" t="s">
        <v>56</v>
      </c>
      <c r="N327">
        <v>23</v>
      </c>
      <c r="O327" t="s">
        <v>75</v>
      </c>
      <c r="P327" t="s">
        <v>35</v>
      </c>
      <c r="Q327" t="s">
        <v>76</v>
      </c>
      <c r="R327" t="s">
        <v>57</v>
      </c>
      <c r="S327" t="s">
        <v>50</v>
      </c>
      <c r="T327">
        <v>12</v>
      </c>
      <c r="U327">
        <v>57978</v>
      </c>
      <c r="V327">
        <v>1</v>
      </c>
      <c r="W327">
        <v>0</v>
      </c>
      <c r="X327">
        <v>0</v>
      </c>
      <c r="Y327">
        <f>IF(tbl_Incidents[[#This Row],[Lost_Time_Days]]&gt;0, 1, 0)</f>
        <v>1</v>
      </c>
      <c r="Z327" s="1">
        <f>DATE(tbl_Incidents[[#This Row],[Year]], tbl_Incidents[[#This Row],[Month]], 1)</f>
        <v>44805</v>
      </c>
      <c r="AA327" t="str">
        <f t="shared" si="5"/>
        <v>Darwin Port Facility|2022-09</v>
      </c>
    </row>
    <row r="328" spans="1:27" x14ac:dyDescent="0.35">
      <c r="A328" t="s">
        <v>426</v>
      </c>
      <c r="B328" s="1">
        <v>44669</v>
      </c>
      <c r="C328">
        <v>2022</v>
      </c>
      <c r="D328">
        <v>4</v>
      </c>
      <c r="E328" t="s">
        <v>40</v>
      </c>
      <c r="F328" t="s">
        <v>41</v>
      </c>
      <c r="G328" t="s">
        <v>78</v>
      </c>
      <c r="H328" t="s">
        <v>68</v>
      </c>
      <c r="I328" t="s">
        <v>98</v>
      </c>
      <c r="J328" t="s">
        <v>30</v>
      </c>
      <c r="K328" t="s">
        <v>31</v>
      </c>
      <c r="L328" t="s">
        <v>32</v>
      </c>
      <c r="M328" t="s">
        <v>33</v>
      </c>
      <c r="N328">
        <v>0</v>
      </c>
      <c r="O328" t="s">
        <v>70</v>
      </c>
      <c r="P328" t="s">
        <v>35</v>
      </c>
      <c r="Q328" t="s">
        <v>64</v>
      </c>
      <c r="R328" t="s">
        <v>57</v>
      </c>
      <c r="S328" t="s">
        <v>50</v>
      </c>
      <c r="T328">
        <v>9</v>
      </c>
      <c r="U328">
        <v>74471</v>
      </c>
      <c r="V328">
        <v>0</v>
      </c>
      <c r="W328">
        <v>0</v>
      </c>
      <c r="X328">
        <v>0</v>
      </c>
      <c r="Y328">
        <f>IF(tbl_Incidents[[#This Row],[Lost_Time_Days]]&gt;0, 1, 0)</f>
        <v>0</v>
      </c>
      <c r="Z328" s="1">
        <f>DATE(tbl_Incidents[[#This Row],[Year]], tbl_Incidents[[#This Row],[Month]], 1)</f>
        <v>44652</v>
      </c>
      <c r="AA328" t="str">
        <f t="shared" si="5"/>
        <v>Broome Logistics Hub|2022-04</v>
      </c>
    </row>
    <row r="329" spans="1:27" x14ac:dyDescent="0.35">
      <c r="A329" t="s">
        <v>427</v>
      </c>
      <c r="B329" s="1">
        <v>45413</v>
      </c>
      <c r="C329">
        <v>2024</v>
      </c>
      <c r="D329">
        <v>5</v>
      </c>
      <c r="E329" t="s">
        <v>109</v>
      </c>
      <c r="F329" t="s">
        <v>41</v>
      </c>
      <c r="G329" t="s">
        <v>42</v>
      </c>
      <c r="H329" t="s">
        <v>120</v>
      </c>
      <c r="I329" t="s">
        <v>98</v>
      </c>
      <c r="J329" t="s">
        <v>30</v>
      </c>
      <c r="K329" t="s">
        <v>31</v>
      </c>
      <c r="L329" t="s">
        <v>55</v>
      </c>
      <c r="M329" t="s">
        <v>56</v>
      </c>
      <c r="N329">
        <v>0</v>
      </c>
      <c r="O329" t="s">
        <v>34</v>
      </c>
      <c r="P329" t="s">
        <v>35</v>
      </c>
      <c r="Q329" t="s">
        <v>76</v>
      </c>
      <c r="R329" t="s">
        <v>49</v>
      </c>
      <c r="S329" t="s">
        <v>38</v>
      </c>
      <c r="T329">
        <v>11</v>
      </c>
      <c r="U329">
        <v>83332</v>
      </c>
      <c r="V329">
        <v>0</v>
      </c>
      <c r="W329">
        <v>0</v>
      </c>
      <c r="X329">
        <v>0</v>
      </c>
      <c r="Y329">
        <f>IF(tbl_Incidents[[#This Row],[Lost_Time_Days]]&gt;0, 1, 0)</f>
        <v>0</v>
      </c>
      <c r="Z329" s="1">
        <f>DATE(tbl_Incidents[[#This Row],[Year]], tbl_Incidents[[#This Row],[Month]], 1)</f>
        <v>45413</v>
      </c>
      <c r="AA329" t="str">
        <f t="shared" si="5"/>
        <v>Darwin Port Facility|2024-05</v>
      </c>
    </row>
    <row r="330" spans="1:27" x14ac:dyDescent="0.35">
      <c r="A330" t="s">
        <v>428</v>
      </c>
      <c r="B330" s="1">
        <v>44802</v>
      </c>
      <c r="C330">
        <v>2022</v>
      </c>
      <c r="D330">
        <v>8</v>
      </c>
      <c r="E330" t="s">
        <v>66</v>
      </c>
      <c r="F330" t="s">
        <v>67</v>
      </c>
      <c r="G330" t="s">
        <v>27</v>
      </c>
      <c r="H330" t="s">
        <v>28</v>
      </c>
      <c r="I330" t="s">
        <v>29</v>
      </c>
      <c r="J330" t="s">
        <v>30</v>
      </c>
      <c r="K330" t="s">
        <v>31</v>
      </c>
      <c r="L330" t="s">
        <v>74</v>
      </c>
      <c r="M330" t="s">
        <v>33</v>
      </c>
      <c r="N330">
        <v>0</v>
      </c>
      <c r="O330" t="s">
        <v>70</v>
      </c>
      <c r="P330" t="s">
        <v>47</v>
      </c>
      <c r="Q330" t="s">
        <v>48</v>
      </c>
      <c r="R330" t="s">
        <v>57</v>
      </c>
      <c r="S330" t="s">
        <v>50</v>
      </c>
      <c r="T330">
        <v>8</v>
      </c>
      <c r="U330">
        <v>53276</v>
      </c>
      <c r="V330">
        <v>0</v>
      </c>
      <c r="W330">
        <v>0</v>
      </c>
      <c r="X330">
        <v>1</v>
      </c>
      <c r="Y330">
        <f>IF(tbl_Incidents[[#This Row],[Lost_Time_Days]]&gt;0, 1, 0)</f>
        <v>0</v>
      </c>
      <c r="Z330" s="1">
        <f>DATE(tbl_Incidents[[#This Row],[Year]], tbl_Incidents[[#This Row],[Month]], 1)</f>
        <v>44774</v>
      </c>
      <c r="AA330" t="str">
        <f t="shared" si="5"/>
        <v>Thunderbird Mine|2022-08</v>
      </c>
    </row>
    <row r="331" spans="1:27" x14ac:dyDescent="0.35">
      <c r="A331" t="s">
        <v>429</v>
      </c>
      <c r="B331" s="1">
        <v>45221</v>
      </c>
      <c r="C331">
        <v>2023</v>
      </c>
      <c r="D331">
        <v>10</v>
      </c>
      <c r="E331" t="s">
        <v>25</v>
      </c>
      <c r="F331" t="s">
        <v>26</v>
      </c>
      <c r="G331" t="s">
        <v>105</v>
      </c>
      <c r="H331" t="s">
        <v>120</v>
      </c>
      <c r="I331" t="s">
        <v>44</v>
      </c>
      <c r="J331" t="s">
        <v>30</v>
      </c>
      <c r="K331" t="s">
        <v>62</v>
      </c>
      <c r="L331" t="s">
        <v>83</v>
      </c>
      <c r="M331" t="s">
        <v>33</v>
      </c>
      <c r="N331">
        <v>0</v>
      </c>
      <c r="O331" t="s">
        <v>34</v>
      </c>
      <c r="P331" t="s">
        <v>35</v>
      </c>
      <c r="Q331" t="s">
        <v>36</v>
      </c>
      <c r="R331" t="s">
        <v>57</v>
      </c>
      <c r="S331" t="s">
        <v>38</v>
      </c>
      <c r="T331">
        <v>10</v>
      </c>
      <c r="U331">
        <v>95836</v>
      </c>
      <c r="V331">
        <v>0</v>
      </c>
      <c r="W331">
        <v>0</v>
      </c>
      <c r="X331">
        <v>0</v>
      </c>
      <c r="Y331">
        <f>IF(tbl_Incidents[[#This Row],[Lost_Time_Days]]&gt;0, 1, 0)</f>
        <v>0</v>
      </c>
      <c r="Z331" s="1">
        <f>DATE(tbl_Incidents[[#This Row],[Year]], tbl_Incidents[[#This Row],[Month]], 1)</f>
        <v>45200</v>
      </c>
      <c r="AA331" t="str">
        <f t="shared" si="5"/>
        <v>Katherine Processing Site|2023-10</v>
      </c>
    </row>
    <row r="332" spans="1:27" x14ac:dyDescent="0.35">
      <c r="A332" t="s">
        <v>430</v>
      </c>
      <c r="B332" s="1">
        <v>45318</v>
      </c>
      <c r="C332">
        <v>2024</v>
      </c>
      <c r="D332">
        <v>1</v>
      </c>
      <c r="E332" t="s">
        <v>129</v>
      </c>
      <c r="F332" t="s">
        <v>53</v>
      </c>
      <c r="G332" t="s">
        <v>27</v>
      </c>
      <c r="H332" t="s">
        <v>68</v>
      </c>
      <c r="I332" t="s">
        <v>29</v>
      </c>
      <c r="J332" t="s">
        <v>30</v>
      </c>
      <c r="K332" t="s">
        <v>31</v>
      </c>
      <c r="L332" t="s">
        <v>45</v>
      </c>
      <c r="M332" t="s">
        <v>33</v>
      </c>
      <c r="N332">
        <v>0</v>
      </c>
      <c r="O332" t="s">
        <v>75</v>
      </c>
      <c r="P332" t="s">
        <v>35</v>
      </c>
      <c r="Q332" t="s">
        <v>81</v>
      </c>
      <c r="R332" t="s">
        <v>57</v>
      </c>
      <c r="S332" t="s">
        <v>88</v>
      </c>
      <c r="T332">
        <v>12</v>
      </c>
      <c r="U332">
        <v>75167</v>
      </c>
      <c r="V332">
        <v>0</v>
      </c>
      <c r="W332">
        <v>0</v>
      </c>
      <c r="X332">
        <v>1</v>
      </c>
      <c r="Y332">
        <f>IF(tbl_Incidents[[#This Row],[Lost_Time_Days]]&gt;0, 1, 0)</f>
        <v>0</v>
      </c>
      <c r="Z332" s="1">
        <f>DATE(tbl_Incidents[[#This Row],[Year]], tbl_Incidents[[#This Row],[Month]], 1)</f>
        <v>45292</v>
      </c>
      <c r="AA332" t="str">
        <f t="shared" si="5"/>
        <v>Thunderbird Mine|2024-01</v>
      </c>
    </row>
    <row r="333" spans="1:27" x14ac:dyDescent="0.35">
      <c r="A333" t="s">
        <v>431</v>
      </c>
      <c r="B333" s="1">
        <v>44657</v>
      </c>
      <c r="C333">
        <v>2022</v>
      </c>
      <c r="D333">
        <v>4</v>
      </c>
      <c r="E333" t="s">
        <v>40</v>
      </c>
      <c r="F333" t="s">
        <v>41</v>
      </c>
      <c r="G333" t="s">
        <v>59</v>
      </c>
      <c r="H333" t="s">
        <v>73</v>
      </c>
      <c r="I333" t="s">
        <v>60</v>
      </c>
      <c r="J333" t="s">
        <v>61</v>
      </c>
      <c r="K333" t="s">
        <v>165</v>
      </c>
      <c r="L333" t="s">
        <v>55</v>
      </c>
      <c r="M333" t="s">
        <v>56</v>
      </c>
      <c r="N333">
        <v>0</v>
      </c>
      <c r="O333" t="s">
        <v>63</v>
      </c>
      <c r="P333" t="s">
        <v>91</v>
      </c>
      <c r="Q333" t="s">
        <v>64</v>
      </c>
      <c r="R333" t="s">
        <v>49</v>
      </c>
      <c r="S333" t="s">
        <v>88</v>
      </c>
      <c r="T333">
        <v>9</v>
      </c>
      <c r="U333">
        <v>54818</v>
      </c>
      <c r="V333">
        <v>1</v>
      </c>
      <c r="W333">
        <v>0</v>
      </c>
      <c r="X333">
        <v>0</v>
      </c>
      <c r="Y333">
        <f>IF(tbl_Incidents[[#This Row],[Lost_Time_Days]]&gt;0, 1, 0)</f>
        <v>0</v>
      </c>
      <c r="Z333" s="1">
        <f>DATE(tbl_Incidents[[#This Row],[Year]], tbl_Incidents[[#This Row],[Month]], 1)</f>
        <v>44652</v>
      </c>
      <c r="AA333" t="str">
        <f t="shared" si="5"/>
        <v>Pilbara Crusher Plant|2022-04</v>
      </c>
    </row>
    <row r="334" spans="1:27" x14ac:dyDescent="0.35">
      <c r="A334" t="s">
        <v>432</v>
      </c>
      <c r="B334" s="1">
        <v>44697</v>
      </c>
      <c r="C334">
        <v>2022</v>
      </c>
      <c r="D334">
        <v>5</v>
      </c>
      <c r="E334" t="s">
        <v>109</v>
      </c>
      <c r="F334" t="s">
        <v>41</v>
      </c>
      <c r="G334" t="s">
        <v>27</v>
      </c>
      <c r="H334" t="s">
        <v>73</v>
      </c>
      <c r="I334" t="s">
        <v>79</v>
      </c>
      <c r="J334" t="s">
        <v>30</v>
      </c>
      <c r="K334" t="s">
        <v>31</v>
      </c>
      <c r="L334" t="s">
        <v>74</v>
      </c>
      <c r="M334" t="s">
        <v>56</v>
      </c>
      <c r="N334">
        <v>0</v>
      </c>
      <c r="O334" t="s">
        <v>90</v>
      </c>
      <c r="P334" t="s">
        <v>47</v>
      </c>
      <c r="Q334" t="s">
        <v>76</v>
      </c>
      <c r="R334" t="s">
        <v>49</v>
      </c>
      <c r="S334" t="s">
        <v>38</v>
      </c>
      <c r="T334">
        <v>12</v>
      </c>
      <c r="U334">
        <v>89774</v>
      </c>
      <c r="V334">
        <v>0</v>
      </c>
      <c r="W334">
        <v>0</v>
      </c>
      <c r="X334">
        <v>0</v>
      </c>
      <c r="Y334">
        <f>IF(tbl_Incidents[[#This Row],[Lost_Time_Days]]&gt;0, 1, 0)</f>
        <v>0</v>
      </c>
      <c r="Z334" s="1">
        <f>DATE(tbl_Incidents[[#This Row],[Year]], tbl_Incidents[[#This Row],[Month]], 1)</f>
        <v>44682</v>
      </c>
      <c r="AA334" t="str">
        <f t="shared" si="5"/>
        <v>Thunderbird Mine|2022-05</v>
      </c>
    </row>
    <row r="335" spans="1:27" x14ac:dyDescent="0.35">
      <c r="A335" t="s">
        <v>433</v>
      </c>
      <c r="B335" s="1">
        <v>45359</v>
      </c>
      <c r="C335">
        <v>2024</v>
      </c>
      <c r="D335">
        <v>3</v>
      </c>
      <c r="E335" t="s">
        <v>125</v>
      </c>
      <c r="F335" t="s">
        <v>53</v>
      </c>
      <c r="G335" t="s">
        <v>78</v>
      </c>
      <c r="H335" t="s">
        <v>68</v>
      </c>
      <c r="I335" t="s">
        <v>60</v>
      </c>
      <c r="J335" t="s">
        <v>61</v>
      </c>
      <c r="K335" t="s">
        <v>112</v>
      </c>
      <c r="L335" t="s">
        <v>83</v>
      </c>
      <c r="M335" t="s">
        <v>56</v>
      </c>
      <c r="N335">
        <v>0</v>
      </c>
      <c r="O335" t="s">
        <v>34</v>
      </c>
      <c r="P335" t="s">
        <v>47</v>
      </c>
      <c r="Q335" t="s">
        <v>64</v>
      </c>
      <c r="R335" t="s">
        <v>57</v>
      </c>
      <c r="S335" t="s">
        <v>38</v>
      </c>
      <c r="T335">
        <v>10</v>
      </c>
      <c r="U335">
        <v>81187</v>
      </c>
      <c r="V335">
        <v>1</v>
      </c>
      <c r="W335">
        <v>0</v>
      </c>
      <c r="X335">
        <v>0</v>
      </c>
      <c r="Y335">
        <f>IF(tbl_Incidents[[#This Row],[Lost_Time_Days]]&gt;0, 1, 0)</f>
        <v>0</v>
      </c>
      <c r="Z335" s="1">
        <f>DATE(tbl_Incidents[[#This Row],[Year]], tbl_Incidents[[#This Row],[Month]], 1)</f>
        <v>45352</v>
      </c>
      <c r="AA335" t="str">
        <f t="shared" si="5"/>
        <v>Broome Logistics Hub|2024-03</v>
      </c>
    </row>
    <row r="336" spans="1:27" x14ac:dyDescent="0.35">
      <c r="A336" t="s">
        <v>434</v>
      </c>
      <c r="B336" s="1">
        <v>44574</v>
      </c>
      <c r="C336">
        <v>2022</v>
      </c>
      <c r="D336">
        <v>1</v>
      </c>
      <c r="E336" t="s">
        <v>129</v>
      </c>
      <c r="F336" t="s">
        <v>53</v>
      </c>
      <c r="G336" t="s">
        <v>78</v>
      </c>
      <c r="H336" t="s">
        <v>28</v>
      </c>
      <c r="I336" t="s">
        <v>79</v>
      </c>
      <c r="J336" t="s">
        <v>30</v>
      </c>
      <c r="K336" t="s">
        <v>31</v>
      </c>
      <c r="L336" t="s">
        <v>95</v>
      </c>
      <c r="M336" t="s">
        <v>46</v>
      </c>
      <c r="N336">
        <v>0</v>
      </c>
      <c r="O336" t="s">
        <v>90</v>
      </c>
      <c r="P336" t="s">
        <v>35</v>
      </c>
      <c r="Q336" t="s">
        <v>81</v>
      </c>
      <c r="R336" t="s">
        <v>37</v>
      </c>
      <c r="S336" t="s">
        <v>50</v>
      </c>
      <c r="T336">
        <v>12</v>
      </c>
      <c r="U336">
        <v>52483</v>
      </c>
      <c r="V336">
        <v>0</v>
      </c>
      <c r="W336">
        <v>0</v>
      </c>
      <c r="X336">
        <v>0</v>
      </c>
      <c r="Y336">
        <f>IF(tbl_Incidents[[#This Row],[Lost_Time_Days]]&gt;0, 1, 0)</f>
        <v>0</v>
      </c>
      <c r="Z336" s="1">
        <f>DATE(tbl_Incidents[[#This Row],[Year]], tbl_Incidents[[#This Row],[Month]], 1)</f>
        <v>44562</v>
      </c>
      <c r="AA336" t="str">
        <f t="shared" si="5"/>
        <v>Broome Logistics Hub|2022-01</v>
      </c>
    </row>
    <row r="337" spans="1:27" x14ac:dyDescent="0.35">
      <c r="A337" t="s">
        <v>435</v>
      </c>
      <c r="B337" s="1">
        <v>45005</v>
      </c>
      <c r="C337">
        <v>2023</v>
      </c>
      <c r="D337">
        <v>3</v>
      </c>
      <c r="E337" t="s">
        <v>125</v>
      </c>
      <c r="F337" t="s">
        <v>53</v>
      </c>
      <c r="G337" t="s">
        <v>42</v>
      </c>
      <c r="H337" t="s">
        <v>86</v>
      </c>
      <c r="I337" t="s">
        <v>79</v>
      </c>
      <c r="J337" t="s">
        <v>30</v>
      </c>
      <c r="K337" t="s">
        <v>31</v>
      </c>
      <c r="L337" t="s">
        <v>80</v>
      </c>
      <c r="M337" t="s">
        <v>46</v>
      </c>
      <c r="N337">
        <v>0</v>
      </c>
      <c r="O337" t="s">
        <v>75</v>
      </c>
      <c r="P337" t="s">
        <v>47</v>
      </c>
      <c r="Q337" t="s">
        <v>48</v>
      </c>
      <c r="R337" t="s">
        <v>37</v>
      </c>
      <c r="S337" t="s">
        <v>50</v>
      </c>
      <c r="T337">
        <v>8</v>
      </c>
      <c r="U337">
        <v>41526</v>
      </c>
      <c r="V337">
        <v>0</v>
      </c>
      <c r="W337">
        <v>0</v>
      </c>
      <c r="X337">
        <v>0</v>
      </c>
      <c r="Y337">
        <f>IF(tbl_Incidents[[#This Row],[Lost_Time_Days]]&gt;0, 1, 0)</f>
        <v>0</v>
      </c>
      <c r="Z337" s="1">
        <f>DATE(tbl_Incidents[[#This Row],[Year]], tbl_Incidents[[#This Row],[Month]], 1)</f>
        <v>44986</v>
      </c>
      <c r="AA337" t="str">
        <f t="shared" si="5"/>
        <v>Darwin Port Facility|2023-03</v>
      </c>
    </row>
    <row r="338" spans="1:27" x14ac:dyDescent="0.35">
      <c r="A338" t="s">
        <v>436</v>
      </c>
      <c r="B338" s="1">
        <v>45220</v>
      </c>
      <c r="C338">
        <v>2023</v>
      </c>
      <c r="D338">
        <v>10</v>
      </c>
      <c r="E338" t="s">
        <v>25</v>
      </c>
      <c r="F338" t="s">
        <v>26</v>
      </c>
      <c r="G338" t="s">
        <v>78</v>
      </c>
      <c r="H338" t="s">
        <v>86</v>
      </c>
      <c r="I338" t="s">
        <v>44</v>
      </c>
      <c r="J338" t="s">
        <v>30</v>
      </c>
      <c r="K338" t="s">
        <v>31</v>
      </c>
      <c r="L338" t="s">
        <v>93</v>
      </c>
      <c r="M338" t="s">
        <v>33</v>
      </c>
      <c r="N338">
        <v>0</v>
      </c>
      <c r="O338" t="s">
        <v>70</v>
      </c>
      <c r="P338" t="s">
        <v>47</v>
      </c>
      <c r="Q338" t="s">
        <v>81</v>
      </c>
      <c r="R338" t="s">
        <v>57</v>
      </c>
      <c r="S338" t="s">
        <v>38</v>
      </c>
      <c r="T338">
        <v>10</v>
      </c>
      <c r="U338">
        <v>46599</v>
      </c>
      <c r="V338">
        <v>0</v>
      </c>
      <c r="W338">
        <v>0</v>
      </c>
      <c r="X338">
        <v>0</v>
      </c>
      <c r="Y338">
        <f>IF(tbl_Incidents[[#This Row],[Lost_Time_Days]]&gt;0, 1, 0)</f>
        <v>0</v>
      </c>
      <c r="Z338" s="1">
        <f>DATE(tbl_Incidents[[#This Row],[Year]], tbl_Incidents[[#This Row],[Month]], 1)</f>
        <v>45200</v>
      </c>
      <c r="AA338" t="str">
        <f t="shared" si="5"/>
        <v>Broome Logistics Hub|2023-10</v>
      </c>
    </row>
    <row r="339" spans="1:27" x14ac:dyDescent="0.35">
      <c r="A339" t="s">
        <v>437</v>
      </c>
      <c r="B339" s="1">
        <v>45081</v>
      </c>
      <c r="C339">
        <v>2023</v>
      </c>
      <c r="D339">
        <v>6</v>
      </c>
      <c r="E339" t="s">
        <v>72</v>
      </c>
      <c r="F339" t="s">
        <v>41</v>
      </c>
      <c r="G339" t="s">
        <v>78</v>
      </c>
      <c r="H339" t="s">
        <v>28</v>
      </c>
      <c r="I339" t="s">
        <v>44</v>
      </c>
      <c r="J339" t="s">
        <v>30</v>
      </c>
      <c r="K339" t="s">
        <v>139</v>
      </c>
      <c r="L339" t="s">
        <v>55</v>
      </c>
      <c r="M339" t="s">
        <v>33</v>
      </c>
      <c r="N339">
        <v>0</v>
      </c>
      <c r="O339" t="s">
        <v>34</v>
      </c>
      <c r="P339" t="s">
        <v>47</v>
      </c>
      <c r="Q339" t="s">
        <v>64</v>
      </c>
      <c r="R339" t="s">
        <v>37</v>
      </c>
      <c r="S339" t="s">
        <v>88</v>
      </c>
      <c r="T339">
        <v>8</v>
      </c>
      <c r="U339">
        <v>105333</v>
      </c>
      <c r="V339">
        <v>0</v>
      </c>
      <c r="W339">
        <v>0</v>
      </c>
      <c r="X339">
        <v>0</v>
      </c>
      <c r="Y339">
        <f>IF(tbl_Incidents[[#This Row],[Lost_Time_Days]]&gt;0, 1, 0)</f>
        <v>0</v>
      </c>
      <c r="Z339" s="1">
        <f>DATE(tbl_Incidents[[#This Row],[Year]], tbl_Incidents[[#This Row],[Month]], 1)</f>
        <v>45078</v>
      </c>
      <c r="AA339" t="str">
        <f t="shared" si="5"/>
        <v>Broome Logistics Hub|2023-06</v>
      </c>
    </row>
    <row r="340" spans="1:27" x14ac:dyDescent="0.35">
      <c r="A340" t="s">
        <v>438</v>
      </c>
      <c r="B340" s="1">
        <v>45019</v>
      </c>
      <c r="C340">
        <v>2023</v>
      </c>
      <c r="D340">
        <v>4</v>
      </c>
      <c r="E340" t="s">
        <v>40</v>
      </c>
      <c r="F340" t="s">
        <v>41</v>
      </c>
      <c r="G340" t="s">
        <v>27</v>
      </c>
      <c r="H340" t="s">
        <v>86</v>
      </c>
      <c r="I340" t="s">
        <v>60</v>
      </c>
      <c r="J340" t="s">
        <v>61</v>
      </c>
      <c r="K340" t="s">
        <v>147</v>
      </c>
      <c r="L340" t="s">
        <v>74</v>
      </c>
      <c r="M340" t="s">
        <v>56</v>
      </c>
      <c r="N340">
        <v>0</v>
      </c>
      <c r="O340" t="s">
        <v>63</v>
      </c>
      <c r="P340" t="s">
        <v>35</v>
      </c>
      <c r="Q340" t="s">
        <v>76</v>
      </c>
      <c r="R340" t="s">
        <v>37</v>
      </c>
      <c r="S340" t="s">
        <v>38</v>
      </c>
      <c r="T340">
        <v>8</v>
      </c>
      <c r="U340">
        <v>119194</v>
      </c>
      <c r="V340">
        <v>1</v>
      </c>
      <c r="W340">
        <v>0</v>
      </c>
      <c r="X340">
        <v>0</v>
      </c>
      <c r="Y340">
        <f>IF(tbl_Incidents[[#This Row],[Lost_Time_Days]]&gt;0, 1, 0)</f>
        <v>0</v>
      </c>
      <c r="Z340" s="1">
        <f>DATE(tbl_Incidents[[#This Row],[Year]], tbl_Incidents[[#This Row],[Month]], 1)</f>
        <v>45017</v>
      </c>
      <c r="AA340" t="str">
        <f t="shared" si="5"/>
        <v>Thunderbird Mine|2023-04</v>
      </c>
    </row>
    <row r="341" spans="1:27" x14ac:dyDescent="0.35">
      <c r="A341" t="s">
        <v>439</v>
      </c>
      <c r="B341" s="1">
        <v>45195</v>
      </c>
      <c r="C341">
        <v>2023</v>
      </c>
      <c r="D341">
        <v>9</v>
      </c>
      <c r="E341" t="s">
        <v>97</v>
      </c>
      <c r="F341" t="s">
        <v>67</v>
      </c>
      <c r="G341" t="s">
        <v>59</v>
      </c>
      <c r="H341" t="s">
        <v>43</v>
      </c>
      <c r="I341" t="s">
        <v>79</v>
      </c>
      <c r="J341" t="s">
        <v>30</v>
      </c>
      <c r="K341" t="s">
        <v>31</v>
      </c>
      <c r="L341" t="s">
        <v>103</v>
      </c>
      <c r="M341" t="s">
        <v>33</v>
      </c>
      <c r="N341">
        <v>0</v>
      </c>
      <c r="O341" t="s">
        <v>75</v>
      </c>
      <c r="P341" t="s">
        <v>47</v>
      </c>
      <c r="Q341" t="s">
        <v>81</v>
      </c>
      <c r="R341" t="s">
        <v>57</v>
      </c>
      <c r="S341" t="s">
        <v>38</v>
      </c>
      <c r="T341">
        <v>9</v>
      </c>
      <c r="U341">
        <v>99566</v>
      </c>
      <c r="V341">
        <v>0</v>
      </c>
      <c r="W341">
        <v>0</v>
      </c>
      <c r="X341">
        <v>0</v>
      </c>
      <c r="Y341">
        <f>IF(tbl_Incidents[[#This Row],[Lost_Time_Days]]&gt;0, 1, 0)</f>
        <v>0</v>
      </c>
      <c r="Z341" s="1">
        <f>DATE(tbl_Incidents[[#This Row],[Year]], tbl_Incidents[[#This Row],[Month]], 1)</f>
        <v>45170</v>
      </c>
      <c r="AA341" t="str">
        <f t="shared" si="5"/>
        <v>Pilbara Crusher Plant|2023-09</v>
      </c>
    </row>
    <row r="342" spans="1:27" x14ac:dyDescent="0.35">
      <c r="A342" t="s">
        <v>440</v>
      </c>
      <c r="B342" s="1">
        <v>44901</v>
      </c>
      <c r="C342">
        <v>2022</v>
      </c>
      <c r="D342">
        <v>12</v>
      </c>
      <c r="E342" t="s">
        <v>123</v>
      </c>
      <c r="F342" t="s">
        <v>26</v>
      </c>
      <c r="G342" t="s">
        <v>78</v>
      </c>
      <c r="H342" t="s">
        <v>43</v>
      </c>
      <c r="I342" t="s">
        <v>98</v>
      </c>
      <c r="J342" t="s">
        <v>30</v>
      </c>
      <c r="K342" t="s">
        <v>31</v>
      </c>
      <c r="L342" t="s">
        <v>83</v>
      </c>
      <c r="M342" t="s">
        <v>46</v>
      </c>
      <c r="N342">
        <v>0</v>
      </c>
      <c r="O342" t="s">
        <v>75</v>
      </c>
      <c r="P342" t="s">
        <v>91</v>
      </c>
      <c r="Q342" t="s">
        <v>64</v>
      </c>
      <c r="R342" t="s">
        <v>57</v>
      </c>
      <c r="S342" t="s">
        <v>38</v>
      </c>
      <c r="T342">
        <v>9</v>
      </c>
      <c r="U342">
        <v>40287</v>
      </c>
      <c r="V342">
        <v>0</v>
      </c>
      <c r="W342">
        <v>0</v>
      </c>
      <c r="X342">
        <v>0</v>
      </c>
      <c r="Y342">
        <f>IF(tbl_Incidents[[#This Row],[Lost_Time_Days]]&gt;0, 1, 0)</f>
        <v>0</v>
      </c>
      <c r="Z342" s="1">
        <f>DATE(tbl_Incidents[[#This Row],[Year]], tbl_Incidents[[#This Row],[Month]], 1)</f>
        <v>44896</v>
      </c>
      <c r="AA342" t="str">
        <f t="shared" si="5"/>
        <v>Broome Logistics Hub|2022-12</v>
      </c>
    </row>
    <row r="343" spans="1:27" x14ac:dyDescent="0.35">
      <c r="A343" t="s">
        <v>441</v>
      </c>
      <c r="B343" s="1">
        <v>44911</v>
      </c>
      <c r="C343">
        <v>2022</v>
      </c>
      <c r="D343">
        <v>12</v>
      </c>
      <c r="E343" t="s">
        <v>123</v>
      </c>
      <c r="F343" t="s">
        <v>26</v>
      </c>
      <c r="G343" t="s">
        <v>59</v>
      </c>
      <c r="H343" t="s">
        <v>43</v>
      </c>
      <c r="I343" t="s">
        <v>60</v>
      </c>
      <c r="J343" t="s">
        <v>61</v>
      </c>
      <c r="K343" t="s">
        <v>31</v>
      </c>
      <c r="L343" t="s">
        <v>80</v>
      </c>
      <c r="M343" t="s">
        <v>46</v>
      </c>
      <c r="N343">
        <v>0</v>
      </c>
      <c r="O343" t="s">
        <v>34</v>
      </c>
      <c r="P343" t="s">
        <v>35</v>
      </c>
      <c r="Q343" t="s">
        <v>48</v>
      </c>
      <c r="R343" t="s">
        <v>49</v>
      </c>
      <c r="S343" t="s">
        <v>38</v>
      </c>
      <c r="T343">
        <v>11</v>
      </c>
      <c r="U343">
        <v>54019</v>
      </c>
      <c r="V343">
        <v>1</v>
      </c>
      <c r="W343">
        <v>0</v>
      </c>
      <c r="X343">
        <v>0</v>
      </c>
      <c r="Y343">
        <f>IF(tbl_Incidents[[#This Row],[Lost_Time_Days]]&gt;0, 1, 0)</f>
        <v>0</v>
      </c>
      <c r="Z343" s="1">
        <f>DATE(tbl_Incidents[[#This Row],[Year]], tbl_Incidents[[#This Row],[Month]], 1)</f>
        <v>44896</v>
      </c>
      <c r="AA343" t="str">
        <f t="shared" si="5"/>
        <v>Pilbara Crusher Plant|2022-12</v>
      </c>
    </row>
    <row r="344" spans="1:27" x14ac:dyDescent="0.35">
      <c r="A344" t="s">
        <v>442</v>
      </c>
      <c r="B344" s="1">
        <v>44822</v>
      </c>
      <c r="C344">
        <v>2022</v>
      </c>
      <c r="D344">
        <v>9</v>
      </c>
      <c r="E344" t="s">
        <v>97</v>
      </c>
      <c r="F344" t="s">
        <v>67</v>
      </c>
      <c r="G344" t="s">
        <v>42</v>
      </c>
      <c r="H344" t="s">
        <v>73</v>
      </c>
      <c r="I344" t="s">
        <v>98</v>
      </c>
      <c r="J344" t="s">
        <v>30</v>
      </c>
      <c r="K344" t="s">
        <v>31</v>
      </c>
      <c r="L344" t="s">
        <v>74</v>
      </c>
      <c r="M344" t="s">
        <v>56</v>
      </c>
      <c r="N344">
        <v>0</v>
      </c>
      <c r="O344" t="s">
        <v>34</v>
      </c>
      <c r="P344" t="s">
        <v>47</v>
      </c>
      <c r="Q344" t="s">
        <v>48</v>
      </c>
      <c r="R344" t="s">
        <v>57</v>
      </c>
      <c r="S344" t="s">
        <v>38</v>
      </c>
      <c r="T344">
        <v>11</v>
      </c>
      <c r="U344">
        <v>46094</v>
      </c>
      <c r="V344">
        <v>0</v>
      </c>
      <c r="W344">
        <v>0</v>
      </c>
      <c r="X344">
        <v>0</v>
      </c>
      <c r="Y344">
        <f>IF(tbl_Incidents[[#This Row],[Lost_Time_Days]]&gt;0, 1, 0)</f>
        <v>0</v>
      </c>
      <c r="Z344" s="1">
        <f>DATE(tbl_Incidents[[#This Row],[Year]], tbl_Incidents[[#This Row],[Month]], 1)</f>
        <v>44805</v>
      </c>
      <c r="AA344" t="str">
        <f t="shared" si="5"/>
        <v>Darwin Port Facility|2022-09</v>
      </c>
    </row>
    <row r="345" spans="1:27" x14ac:dyDescent="0.35">
      <c r="A345" t="s">
        <v>443</v>
      </c>
      <c r="B345" s="1">
        <v>45210</v>
      </c>
      <c r="C345">
        <v>2023</v>
      </c>
      <c r="D345">
        <v>10</v>
      </c>
      <c r="E345" t="s">
        <v>25</v>
      </c>
      <c r="F345" t="s">
        <v>26</v>
      </c>
      <c r="G345" t="s">
        <v>78</v>
      </c>
      <c r="H345" t="s">
        <v>68</v>
      </c>
      <c r="I345" t="s">
        <v>54</v>
      </c>
      <c r="J345" t="s">
        <v>30</v>
      </c>
      <c r="K345" t="s">
        <v>31</v>
      </c>
      <c r="L345" t="s">
        <v>83</v>
      </c>
      <c r="M345" t="s">
        <v>56</v>
      </c>
      <c r="N345">
        <v>0</v>
      </c>
      <c r="O345" t="s">
        <v>75</v>
      </c>
      <c r="P345" t="s">
        <v>35</v>
      </c>
      <c r="Q345" t="s">
        <v>64</v>
      </c>
      <c r="R345" t="s">
        <v>57</v>
      </c>
      <c r="S345" t="s">
        <v>50</v>
      </c>
      <c r="T345">
        <v>8</v>
      </c>
      <c r="U345">
        <v>112512</v>
      </c>
      <c r="V345">
        <v>0</v>
      </c>
      <c r="W345">
        <v>0</v>
      </c>
      <c r="X345">
        <v>0</v>
      </c>
      <c r="Y345">
        <f>IF(tbl_Incidents[[#This Row],[Lost_Time_Days]]&gt;0, 1, 0)</f>
        <v>0</v>
      </c>
      <c r="Z345" s="1">
        <f>DATE(tbl_Incidents[[#This Row],[Year]], tbl_Incidents[[#This Row],[Month]], 1)</f>
        <v>45200</v>
      </c>
      <c r="AA345" t="str">
        <f t="shared" si="5"/>
        <v>Broome Logistics Hub|2023-10</v>
      </c>
    </row>
    <row r="346" spans="1:27" x14ac:dyDescent="0.35">
      <c r="A346" t="s">
        <v>444</v>
      </c>
      <c r="B346" s="1">
        <v>45005</v>
      </c>
      <c r="C346">
        <v>2023</v>
      </c>
      <c r="D346">
        <v>3</v>
      </c>
      <c r="E346" t="s">
        <v>125</v>
      </c>
      <c r="F346" t="s">
        <v>53</v>
      </c>
      <c r="G346" t="s">
        <v>78</v>
      </c>
      <c r="H346" t="s">
        <v>86</v>
      </c>
      <c r="I346" t="s">
        <v>54</v>
      </c>
      <c r="J346" t="s">
        <v>30</v>
      </c>
      <c r="K346" t="s">
        <v>31</v>
      </c>
      <c r="L346" t="s">
        <v>103</v>
      </c>
      <c r="M346" t="s">
        <v>33</v>
      </c>
      <c r="N346">
        <v>0</v>
      </c>
      <c r="O346" t="s">
        <v>75</v>
      </c>
      <c r="P346" t="s">
        <v>35</v>
      </c>
      <c r="Q346" t="s">
        <v>48</v>
      </c>
      <c r="R346" t="s">
        <v>57</v>
      </c>
      <c r="S346" t="s">
        <v>88</v>
      </c>
      <c r="T346">
        <v>12</v>
      </c>
      <c r="U346">
        <v>119450</v>
      </c>
      <c r="V346">
        <v>0</v>
      </c>
      <c r="W346">
        <v>0</v>
      </c>
      <c r="X346">
        <v>0</v>
      </c>
      <c r="Y346">
        <f>IF(tbl_Incidents[[#This Row],[Lost_Time_Days]]&gt;0, 1, 0)</f>
        <v>0</v>
      </c>
      <c r="Z346" s="1">
        <f>DATE(tbl_Incidents[[#This Row],[Year]], tbl_Incidents[[#This Row],[Month]], 1)</f>
        <v>44986</v>
      </c>
      <c r="AA346" t="str">
        <f t="shared" si="5"/>
        <v>Broome Logistics Hub|2023-03</v>
      </c>
    </row>
    <row r="347" spans="1:27" x14ac:dyDescent="0.35">
      <c r="A347" t="s">
        <v>445</v>
      </c>
      <c r="B347" s="1">
        <v>44891</v>
      </c>
      <c r="C347">
        <v>2022</v>
      </c>
      <c r="D347">
        <v>11</v>
      </c>
      <c r="E347" t="s">
        <v>107</v>
      </c>
      <c r="F347" t="s">
        <v>26</v>
      </c>
      <c r="G347" t="s">
        <v>105</v>
      </c>
      <c r="H347" t="s">
        <v>86</v>
      </c>
      <c r="I347" t="s">
        <v>98</v>
      </c>
      <c r="J347" t="s">
        <v>30</v>
      </c>
      <c r="K347" t="s">
        <v>31</v>
      </c>
      <c r="L347" t="s">
        <v>95</v>
      </c>
      <c r="M347" t="s">
        <v>46</v>
      </c>
      <c r="N347">
        <v>0</v>
      </c>
      <c r="O347" t="s">
        <v>70</v>
      </c>
      <c r="P347" t="s">
        <v>35</v>
      </c>
      <c r="Q347" t="s">
        <v>81</v>
      </c>
      <c r="R347" t="s">
        <v>49</v>
      </c>
      <c r="S347" t="s">
        <v>38</v>
      </c>
      <c r="T347">
        <v>10</v>
      </c>
      <c r="U347">
        <v>99355</v>
      </c>
      <c r="V347">
        <v>0</v>
      </c>
      <c r="W347">
        <v>0</v>
      </c>
      <c r="X347">
        <v>0</v>
      </c>
      <c r="Y347">
        <f>IF(tbl_Incidents[[#This Row],[Lost_Time_Days]]&gt;0, 1, 0)</f>
        <v>0</v>
      </c>
      <c r="Z347" s="1">
        <f>DATE(tbl_Incidents[[#This Row],[Year]], tbl_Incidents[[#This Row],[Month]], 1)</f>
        <v>44866</v>
      </c>
      <c r="AA347" t="str">
        <f t="shared" si="5"/>
        <v>Katherine Processing Site|2022-11</v>
      </c>
    </row>
    <row r="348" spans="1:27" x14ac:dyDescent="0.35">
      <c r="A348" t="s">
        <v>446</v>
      </c>
      <c r="B348" s="1">
        <v>45386</v>
      </c>
      <c r="C348">
        <v>2024</v>
      </c>
      <c r="D348">
        <v>4</v>
      </c>
      <c r="E348" t="s">
        <v>40</v>
      </c>
      <c r="F348" t="s">
        <v>41</v>
      </c>
      <c r="G348" t="s">
        <v>42</v>
      </c>
      <c r="H348" t="s">
        <v>86</v>
      </c>
      <c r="I348" t="s">
        <v>44</v>
      </c>
      <c r="J348" t="s">
        <v>30</v>
      </c>
      <c r="K348" t="s">
        <v>31</v>
      </c>
      <c r="L348" t="s">
        <v>103</v>
      </c>
      <c r="M348" t="s">
        <v>56</v>
      </c>
      <c r="N348">
        <v>0</v>
      </c>
      <c r="O348" t="s">
        <v>70</v>
      </c>
      <c r="P348" t="s">
        <v>91</v>
      </c>
      <c r="Q348" t="s">
        <v>76</v>
      </c>
      <c r="R348" t="s">
        <v>57</v>
      </c>
      <c r="S348" t="s">
        <v>38</v>
      </c>
      <c r="T348">
        <v>9</v>
      </c>
      <c r="U348">
        <v>78086</v>
      </c>
      <c r="V348">
        <v>0</v>
      </c>
      <c r="W348">
        <v>0</v>
      </c>
      <c r="X348">
        <v>0</v>
      </c>
      <c r="Y348">
        <f>IF(tbl_Incidents[[#This Row],[Lost_Time_Days]]&gt;0, 1, 0)</f>
        <v>0</v>
      </c>
      <c r="Z348" s="1">
        <f>DATE(tbl_Incidents[[#This Row],[Year]], tbl_Incidents[[#This Row],[Month]], 1)</f>
        <v>45383</v>
      </c>
      <c r="AA348" t="str">
        <f t="shared" si="5"/>
        <v>Darwin Port Facility|2024-04</v>
      </c>
    </row>
    <row r="349" spans="1:27" x14ac:dyDescent="0.35">
      <c r="A349" t="s">
        <v>447</v>
      </c>
      <c r="B349" s="1">
        <v>45265</v>
      </c>
      <c r="C349">
        <v>2023</v>
      </c>
      <c r="D349">
        <v>12</v>
      </c>
      <c r="E349" t="s">
        <v>123</v>
      </c>
      <c r="F349" t="s">
        <v>26</v>
      </c>
      <c r="G349" t="s">
        <v>42</v>
      </c>
      <c r="H349" t="s">
        <v>28</v>
      </c>
      <c r="I349" t="s">
        <v>60</v>
      </c>
      <c r="J349" t="s">
        <v>61</v>
      </c>
      <c r="K349" t="s">
        <v>112</v>
      </c>
      <c r="L349" t="s">
        <v>103</v>
      </c>
      <c r="M349" t="s">
        <v>46</v>
      </c>
      <c r="N349">
        <v>0</v>
      </c>
      <c r="O349" t="s">
        <v>75</v>
      </c>
      <c r="P349" t="s">
        <v>91</v>
      </c>
      <c r="Q349" t="s">
        <v>36</v>
      </c>
      <c r="R349" t="s">
        <v>57</v>
      </c>
      <c r="S349" t="s">
        <v>50</v>
      </c>
      <c r="T349">
        <v>11</v>
      </c>
      <c r="U349">
        <v>116389</v>
      </c>
      <c r="V349">
        <v>1</v>
      </c>
      <c r="W349">
        <v>0</v>
      </c>
      <c r="X349">
        <v>0</v>
      </c>
      <c r="Y349">
        <f>IF(tbl_Incidents[[#This Row],[Lost_Time_Days]]&gt;0, 1, 0)</f>
        <v>0</v>
      </c>
      <c r="Z349" s="1">
        <f>DATE(tbl_Incidents[[#This Row],[Year]], tbl_Incidents[[#This Row],[Month]], 1)</f>
        <v>45261</v>
      </c>
      <c r="AA349" t="str">
        <f t="shared" si="5"/>
        <v>Darwin Port Facility|2023-12</v>
      </c>
    </row>
    <row r="350" spans="1:27" x14ac:dyDescent="0.35">
      <c r="A350" t="s">
        <v>448</v>
      </c>
      <c r="B350" s="1">
        <v>45146</v>
      </c>
      <c r="C350">
        <v>2023</v>
      </c>
      <c r="D350">
        <v>8</v>
      </c>
      <c r="E350" t="s">
        <v>66</v>
      </c>
      <c r="F350" t="s">
        <v>67</v>
      </c>
      <c r="G350" t="s">
        <v>105</v>
      </c>
      <c r="H350" t="s">
        <v>28</v>
      </c>
      <c r="I350" t="s">
        <v>79</v>
      </c>
      <c r="J350" t="s">
        <v>30</v>
      </c>
      <c r="K350" t="s">
        <v>31</v>
      </c>
      <c r="L350" t="s">
        <v>103</v>
      </c>
      <c r="M350" t="s">
        <v>56</v>
      </c>
      <c r="N350">
        <v>0</v>
      </c>
      <c r="O350" t="s">
        <v>70</v>
      </c>
      <c r="P350" t="s">
        <v>47</v>
      </c>
      <c r="Q350" t="s">
        <v>36</v>
      </c>
      <c r="R350" t="s">
        <v>37</v>
      </c>
      <c r="S350" t="s">
        <v>38</v>
      </c>
      <c r="T350">
        <v>8</v>
      </c>
      <c r="U350">
        <v>89921</v>
      </c>
      <c r="V350">
        <v>0</v>
      </c>
      <c r="W350">
        <v>0</v>
      </c>
      <c r="X350">
        <v>0</v>
      </c>
      <c r="Y350">
        <f>IF(tbl_Incidents[[#This Row],[Lost_Time_Days]]&gt;0, 1, 0)</f>
        <v>0</v>
      </c>
      <c r="Z350" s="1">
        <f>DATE(tbl_Incidents[[#This Row],[Year]], tbl_Incidents[[#This Row],[Month]], 1)</f>
        <v>45139</v>
      </c>
      <c r="AA350" t="str">
        <f t="shared" si="5"/>
        <v>Katherine Processing Site|2023-08</v>
      </c>
    </row>
    <row r="351" spans="1:27" x14ac:dyDescent="0.35">
      <c r="A351" t="s">
        <v>449</v>
      </c>
      <c r="B351" s="1">
        <v>44710</v>
      </c>
      <c r="C351">
        <v>2022</v>
      </c>
      <c r="D351">
        <v>5</v>
      </c>
      <c r="E351" t="s">
        <v>109</v>
      </c>
      <c r="F351" t="s">
        <v>41</v>
      </c>
      <c r="G351" t="s">
        <v>27</v>
      </c>
      <c r="H351" t="s">
        <v>73</v>
      </c>
      <c r="I351" t="s">
        <v>29</v>
      </c>
      <c r="J351" t="s">
        <v>30</v>
      </c>
      <c r="K351" t="s">
        <v>31</v>
      </c>
      <c r="L351" t="s">
        <v>32</v>
      </c>
      <c r="M351" t="s">
        <v>33</v>
      </c>
      <c r="N351">
        <v>0</v>
      </c>
      <c r="O351" t="s">
        <v>34</v>
      </c>
      <c r="P351" t="s">
        <v>91</v>
      </c>
      <c r="Q351" t="s">
        <v>48</v>
      </c>
      <c r="R351" t="s">
        <v>57</v>
      </c>
      <c r="S351" t="s">
        <v>38</v>
      </c>
      <c r="T351">
        <v>9</v>
      </c>
      <c r="U351">
        <v>110932</v>
      </c>
      <c r="V351">
        <v>0</v>
      </c>
      <c r="W351">
        <v>0</v>
      </c>
      <c r="X351">
        <v>0</v>
      </c>
      <c r="Y351">
        <f>IF(tbl_Incidents[[#This Row],[Lost_Time_Days]]&gt;0, 1, 0)</f>
        <v>0</v>
      </c>
      <c r="Z351" s="1">
        <f>DATE(tbl_Incidents[[#This Row],[Year]], tbl_Incidents[[#This Row],[Month]], 1)</f>
        <v>44682</v>
      </c>
      <c r="AA351" t="str">
        <f t="shared" si="5"/>
        <v>Thunderbird Mine|2022-05</v>
      </c>
    </row>
    <row r="352" spans="1:27" x14ac:dyDescent="0.35">
      <c r="A352" t="s">
        <v>450</v>
      </c>
      <c r="B352" s="1">
        <v>45395</v>
      </c>
      <c r="C352">
        <v>2024</v>
      </c>
      <c r="D352">
        <v>4</v>
      </c>
      <c r="E352" t="s">
        <v>40</v>
      </c>
      <c r="F352" t="s">
        <v>41</v>
      </c>
      <c r="G352" t="s">
        <v>78</v>
      </c>
      <c r="H352" t="s">
        <v>28</v>
      </c>
      <c r="I352" t="s">
        <v>110</v>
      </c>
      <c r="J352" t="s">
        <v>61</v>
      </c>
      <c r="K352" t="s">
        <v>31</v>
      </c>
      <c r="L352" t="s">
        <v>100</v>
      </c>
      <c r="M352" t="s">
        <v>46</v>
      </c>
      <c r="N352">
        <v>4</v>
      </c>
      <c r="O352" t="s">
        <v>75</v>
      </c>
      <c r="P352" t="s">
        <v>47</v>
      </c>
      <c r="Q352" t="s">
        <v>48</v>
      </c>
      <c r="R352" t="s">
        <v>37</v>
      </c>
      <c r="S352" t="s">
        <v>38</v>
      </c>
      <c r="T352">
        <v>8</v>
      </c>
      <c r="U352">
        <v>90014</v>
      </c>
      <c r="V352">
        <v>1</v>
      </c>
      <c r="W352">
        <v>0</v>
      </c>
      <c r="X352">
        <v>0</v>
      </c>
      <c r="Y352">
        <f>IF(tbl_Incidents[[#This Row],[Lost_Time_Days]]&gt;0, 1, 0)</f>
        <v>1</v>
      </c>
      <c r="Z352" s="1">
        <f>DATE(tbl_Incidents[[#This Row],[Year]], tbl_Incidents[[#This Row],[Month]], 1)</f>
        <v>45383</v>
      </c>
      <c r="AA352" t="str">
        <f t="shared" si="5"/>
        <v>Broome Logistics Hub|2024-04</v>
      </c>
    </row>
    <row r="353" spans="1:27" x14ac:dyDescent="0.35">
      <c r="A353" t="s">
        <v>451</v>
      </c>
      <c r="B353" s="1">
        <v>45369</v>
      </c>
      <c r="C353">
        <v>2024</v>
      </c>
      <c r="D353">
        <v>3</v>
      </c>
      <c r="E353" t="s">
        <v>125</v>
      </c>
      <c r="F353" t="s">
        <v>53</v>
      </c>
      <c r="G353" t="s">
        <v>59</v>
      </c>
      <c r="H353" t="s">
        <v>43</v>
      </c>
      <c r="I353" t="s">
        <v>79</v>
      </c>
      <c r="J353" t="s">
        <v>30</v>
      </c>
      <c r="K353" t="s">
        <v>31</v>
      </c>
      <c r="L353" t="s">
        <v>45</v>
      </c>
      <c r="M353" t="s">
        <v>33</v>
      </c>
      <c r="N353">
        <v>0</v>
      </c>
      <c r="O353" t="s">
        <v>75</v>
      </c>
      <c r="P353" t="s">
        <v>91</v>
      </c>
      <c r="Q353" t="s">
        <v>48</v>
      </c>
      <c r="R353" t="s">
        <v>37</v>
      </c>
      <c r="S353" t="s">
        <v>88</v>
      </c>
      <c r="T353">
        <v>9</v>
      </c>
      <c r="U353">
        <v>88200</v>
      </c>
      <c r="V353">
        <v>0</v>
      </c>
      <c r="W353">
        <v>0</v>
      </c>
      <c r="X353">
        <v>0</v>
      </c>
      <c r="Y353">
        <f>IF(tbl_Incidents[[#This Row],[Lost_Time_Days]]&gt;0, 1, 0)</f>
        <v>0</v>
      </c>
      <c r="Z353" s="1">
        <f>DATE(tbl_Incidents[[#This Row],[Year]], tbl_Incidents[[#This Row],[Month]], 1)</f>
        <v>45352</v>
      </c>
      <c r="AA353" t="str">
        <f t="shared" si="5"/>
        <v>Pilbara Crusher Plant|2024-03</v>
      </c>
    </row>
    <row r="354" spans="1:27" x14ac:dyDescent="0.35">
      <c r="A354" t="s">
        <v>452</v>
      </c>
      <c r="B354" s="1">
        <v>45335</v>
      </c>
      <c r="C354">
        <v>2024</v>
      </c>
      <c r="D354">
        <v>2</v>
      </c>
      <c r="E354" t="s">
        <v>52</v>
      </c>
      <c r="F354" t="s">
        <v>53</v>
      </c>
      <c r="G354" t="s">
        <v>78</v>
      </c>
      <c r="H354" t="s">
        <v>28</v>
      </c>
      <c r="I354" t="s">
        <v>98</v>
      </c>
      <c r="J354" t="s">
        <v>30</v>
      </c>
      <c r="K354" t="s">
        <v>31</v>
      </c>
      <c r="L354" t="s">
        <v>95</v>
      </c>
      <c r="M354" t="s">
        <v>33</v>
      </c>
      <c r="N354">
        <v>0</v>
      </c>
      <c r="O354" t="s">
        <v>70</v>
      </c>
      <c r="P354" t="s">
        <v>35</v>
      </c>
      <c r="Q354" t="s">
        <v>81</v>
      </c>
      <c r="R354" t="s">
        <v>49</v>
      </c>
      <c r="S354" t="s">
        <v>38</v>
      </c>
      <c r="T354">
        <v>8</v>
      </c>
      <c r="U354">
        <v>64507</v>
      </c>
      <c r="V354">
        <v>0</v>
      </c>
      <c r="W354">
        <v>0</v>
      </c>
      <c r="X354">
        <v>0</v>
      </c>
      <c r="Y354">
        <f>IF(tbl_Incidents[[#This Row],[Lost_Time_Days]]&gt;0, 1, 0)</f>
        <v>0</v>
      </c>
      <c r="Z354" s="1">
        <f>DATE(tbl_Incidents[[#This Row],[Year]], tbl_Incidents[[#This Row],[Month]], 1)</f>
        <v>45323</v>
      </c>
      <c r="AA354" t="str">
        <f t="shared" si="5"/>
        <v>Broome Logistics Hub|2024-02</v>
      </c>
    </row>
    <row r="355" spans="1:27" x14ac:dyDescent="0.35">
      <c r="A355" t="s">
        <v>453</v>
      </c>
      <c r="B355" s="1">
        <v>44739</v>
      </c>
      <c r="C355">
        <v>2022</v>
      </c>
      <c r="D355">
        <v>6</v>
      </c>
      <c r="E355" t="s">
        <v>72</v>
      </c>
      <c r="F355" t="s">
        <v>41</v>
      </c>
      <c r="G355" t="s">
        <v>78</v>
      </c>
      <c r="H355" t="s">
        <v>68</v>
      </c>
      <c r="I355" t="s">
        <v>79</v>
      </c>
      <c r="J355" t="s">
        <v>30</v>
      </c>
      <c r="K355" t="s">
        <v>31</v>
      </c>
      <c r="L355" t="s">
        <v>55</v>
      </c>
      <c r="M355" t="s">
        <v>33</v>
      </c>
      <c r="N355">
        <v>0</v>
      </c>
      <c r="O355" t="s">
        <v>63</v>
      </c>
      <c r="P355" t="s">
        <v>91</v>
      </c>
      <c r="Q355" t="s">
        <v>76</v>
      </c>
      <c r="R355" t="s">
        <v>57</v>
      </c>
      <c r="S355" t="s">
        <v>38</v>
      </c>
      <c r="T355">
        <v>9</v>
      </c>
      <c r="U355">
        <v>116544</v>
      </c>
      <c r="V355">
        <v>0</v>
      </c>
      <c r="W355">
        <v>0</v>
      </c>
      <c r="X355">
        <v>0</v>
      </c>
      <c r="Y355">
        <f>IF(tbl_Incidents[[#This Row],[Lost_Time_Days]]&gt;0, 1, 0)</f>
        <v>0</v>
      </c>
      <c r="Z355" s="1">
        <f>DATE(tbl_Incidents[[#This Row],[Year]], tbl_Incidents[[#This Row],[Month]], 1)</f>
        <v>44713</v>
      </c>
      <c r="AA355" t="str">
        <f t="shared" si="5"/>
        <v>Broome Logistics Hub|2022-06</v>
      </c>
    </row>
    <row r="356" spans="1:27" x14ac:dyDescent="0.35">
      <c r="A356" t="s">
        <v>454</v>
      </c>
      <c r="B356" s="1">
        <v>45428</v>
      </c>
      <c r="C356">
        <v>2024</v>
      </c>
      <c r="D356">
        <v>5</v>
      </c>
      <c r="E356" t="s">
        <v>109</v>
      </c>
      <c r="F356" t="s">
        <v>41</v>
      </c>
      <c r="G356" t="s">
        <v>27</v>
      </c>
      <c r="H356" t="s">
        <v>120</v>
      </c>
      <c r="I356" t="s">
        <v>60</v>
      </c>
      <c r="J356" t="s">
        <v>61</v>
      </c>
      <c r="K356" t="s">
        <v>31</v>
      </c>
      <c r="L356" t="s">
        <v>93</v>
      </c>
      <c r="M356" t="s">
        <v>33</v>
      </c>
      <c r="N356">
        <v>0</v>
      </c>
      <c r="O356" t="s">
        <v>34</v>
      </c>
      <c r="P356" t="s">
        <v>91</v>
      </c>
      <c r="Q356" t="s">
        <v>76</v>
      </c>
      <c r="R356" t="s">
        <v>57</v>
      </c>
      <c r="S356" t="s">
        <v>50</v>
      </c>
      <c r="T356">
        <v>10</v>
      </c>
      <c r="U356">
        <v>104297</v>
      </c>
      <c r="V356">
        <v>1</v>
      </c>
      <c r="W356">
        <v>0</v>
      </c>
      <c r="X356">
        <v>0</v>
      </c>
      <c r="Y356">
        <f>IF(tbl_Incidents[[#This Row],[Lost_Time_Days]]&gt;0, 1, 0)</f>
        <v>0</v>
      </c>
      <c r="Z356" s="1">
        <f>DATE(tbl_Incidents[[#This Row],[Year]], tbl_Incidents[[#This Row],[Month]], 1)</f>
        <v>45413</v>
      </c>
      <c r="AA356" t="str">
        <f t="shared" si="5"/>
        <v>Thunderbird Mine|2024-05</v>
      </c>
    </row>
    <row r="357" spans="1:27" x14ac:dyDescent="0.35">
      <c r="A357" t="s">
        <v>455</v>
      </c>
      <c r="B357" s="1">
        <v>45370</v>
      </c>
      <c r="C357">
        <v>2024</v>
      </c>
      <c r="D357">
        <v>3</v>
      </c>
      <c r="E357" t="s">
        <v>125</v>
      </c>
      <c r="F357" t="s">
        <v>53</v>
      </c>
      <c r="G357" t="s">
        <v>78</v>
      </c>
      <c r="H357" t="s">
        <v>120</v>
      </c>
      <c r="I357" t="s">
        <v>98</v>
      </c>
      <c r="J357" t="s">
        <v>30</v>
      </c>
      <c r="K357" t="s">
        <v>31</v>
      </c>
      <c r="L357" t="s">
        <v>74</v>
      </c>
      <c r="M357" t="s">
        <v>46</v>
      </c>
      <c r="N357">
        <v>0</v>
      </c>
      <c r="O357" t="s">
        <v>34</v>
      </c>
      <c r="P357" t="s">
        <v>35</v>
      </c>
      <c r="Q357" t="s">
        <v>48</v>
      </c>
      <c r="R357" t="s">
        <v>37</v>
      </c>
      <c r="S357" t="s">
        <v>38</v>
      </c>
      <c r="T357">
        <v>12</v>
      </c>
      <c r="U357">
        <v>60889</v>
      </c>
      <c r="V357">
        <v>0</v>
      </c>
      <c r="W357">
        <v>0</v>
      </c>
      <c r="X357">
        <v>0</v>
      </c>
      <c r="Y357">
        <f>IF(tbl_Incidents[[#This Row],[Lost_Time_Days]]&gt;0, 1, 0)</f>
        <v>0</v>
      </c>
      <c r="Z357" s="1">
        <f>DATE(tbl_Incidents[[#This Row],[Year]], tbl_Incidents[[#This Row],[Month]], 1)</f>
        <v>45352</v>
      </c>
      <c r="AA357" t="str">
        <f t="shared" si="5"/>
        <v>Broome Logistics Hub|2024-03</v>
      </c>
    </row>
    <row r="358" spans="1:27" x14ac:dyDescent="0.35">
      <c r="A358" t="s">
        <v>456</v>
      </c>
      <c r="B358" s="1">
        <v>44987</v>
      </c>
      <c r="C358">
        <v>2023</v>
      </c>
      <c r="D358">
        <v>3</v>
      </c>
      <c r="E358" t="s">
        <v>125</v>
      </c>
      <c r="F358" t="s">
        <v>53</v>
      </c>
      <c r="G358" t="s">
        <v>78</v>
      </c>
      <c r="H358" t="s">
        <v>86</v>
      </c>
      <c r="I358" t="s">
        <v>98</v>
      </c>
      <c r="J358" t="s">
        <v>30</v>
      </c>
      <c r="K358" t="s">
        <v>31</v>
      </c>
      <c r="L358" t="s">
        <v>74</v>
      </c>
      <c r="M358" t="s">
        <v>56</v>
      </c>
      <c r="N358">
        <v>0</v>
      </c>
      <c r="O358" t="s">
        <v>34</v>
      </c>
      <c r="P358" t="s">
        <v>35</v>
      </c>
      <c r="Q358" t="s">
        <v>81</v>
      </c>
      <c r="R358" t="s">
        <v>57</v>
      </c>
      <c r="S358" t="s">
        <v>38</v>
      </c>
      <c r="T358">
        <v>10</v>
      </c>
      <c r="U358">
        <v>68632</v>
      </c>
      <c r="V358">
        <v>0</v>
      </c>
      <c r="W358">
        <v>0</v>
      </c>
      <c r="X358">
        <v>0</v>
      </c>
      <c r="Y358">
        <f>IF(tbl_Incidents[[#This Row],[Lost_Time_Days]]&gt;0, 1, 0)</f>
        <v>0</v>
      </c>
      <c r="Z358" s="1">
        <f>DATE(tbl_Incidents[[#This Row],[Year]], tbl_Incidents[[#This Row],[Month]], 1)</f>
        <v>44986</v>
      </c>
      <c r="AA358" t="str">
        <f t="shared" si="5"/>
        <v>Broome Logistics Hub|2023-03</v>
      </c>
    </row>
    <row r="359" spans="1:27" x14ac:dyDescent="0.35">
      <c r="A359" t="s">
        <v>457</v>
      </c>
      <c r="B359" s="1">
        <v>45332</v>
      </c>
      <c r="C359">
        <v>2024</v>
      </c>
      <c r="D359">
        <v>2</v>
      </c>
      <c r="E359" t="s">
        <v>52</v>
      </c>
      <c r="F359" t="s">
        <v>53</v>
      </c>
      <c r="G359" t="s">
        <v>78</v>
      </c>
      <c r="H359" t="s">
        <v>86</v>
      </c>
      <c r="I359" t="s">
        <v>98</v>
      </c>
      <c r="J359" t="s">
        <v>30</v>
      </c>
      <c r="K359" t="s">
        <v>31</v>
      </c>
      <c r="L359" t="s">
        <v>103</v>
      </c>
      <c r="M359" t="s">
        <v>46</v>
      </c>
      <c r="N359">
        <v>0</v>
      </c>
      <c r="O359" t="s">
        <v>34</v>
      </c>
      <c r="P359" t="s">
        <v>35</v>
      </c>
      <c r="Q359" t="s">
        <v>81</v>
      </c>
      <c r="R359" t="s">
        <v>49</v>
      </c>
      <c r="S359" t="s">
        <v>38</v>
      </c>
      <c r="T359">
        <v>12</v>
      </c>
      <c r="U359">
        <v>71958</v>
      </c>
      <c r="V359">
        <v>0</v>
      </c>
      <c r="W359">
        <v>0</v>
      </c>
      <c r="X359">
        <v>0</v>
      </c>
      <c r="Y359">
        <f>IF(tbl_Incidents[[#This Row],[Lost_Time_Days]]&gt;0, 1, 0)</f>
        <v>0</v>
      </c>
      <c r="Z359" s="1">
        <f>DATE(tbl_Incidents[[#This Row],[Year]], tbl_Incidents[[#This Row],[Month]], 1)</f>
        <v>45323</v>
      </c>
      <c r="AA359" t="str">
        <f t="shared" si="5"/>
        <v>Broome Logistics Hub|2024-02</v>
      </c>
    </row>
    <row r="360" spans="1:27" x14ac:dyDescent="0.35">
      <c r="A360" t="s">
        <v>458</v>
      </c>
      <c r="B360" s="1">
        <v>44602</v>
      </c>
      <c r="C360">
        <v>2022</v>
      </c>
      <c r="D360">
        <v>2</v>
      </c>
      <c r="E360" t="s">
        <v>52</v>
      </c>
      <c r="F360" t="s">
        <v>53</v>
      </c>
      <c r="G360" t="s">
        <v>59</v>
      </c>
      <c r="H360" t="s">
        <v>86</v>
      </c>
      <c r="I360" t="s">
        <v>79</v>
      </c>
      <c r="J360" t="s">
        <v>30</v>
      </c>
      <c r="K360" t="s">
        <v>31</v>
      </c>
      <c r="L360" t="s">
        <v>74</v>
      </c>
      <c r="M360" t="s">
        <v>56</v>
      </c>
      <c r="N360">
        <v>0</v>
      </c>
      <c r="O360" t="s">
        <v>34</v>
      </c>
      <c r="P360" t="s">
        <v>91</v>
      </c>
      <c r="Q360" t="s">
        <v>36</v>
      </c>
      <c r="R360" t="s">
        <v>37</v>
      </c>
      <c r="S360" t="s">
        <v>38</v>
      </c>
      <c r="T360">
        <v>12</v>
      </c>
      <c r="U360">
        <v>106680</v>
      </c>
      <c r="V360">
        <v>0</v>
      </c>
      <c r="W360">
        <v>0</v>
      </c>
      <c r="X360">
        <v>0</v>
      </c>
      <c r="Y360">
        <f>IF(tbl_Incidents[[#This Row],[Lost_Time_Days]]&gt;0, 1, 0)</f>
        <v>0</v>
      </c>
      <c r="Z360" s="1">
        <f>DATE(tbl_Incidents[[#This Row],[Year]], tbl_Incidents[[#This Row],[Month]], 1)</f>
        <v>44593</v>
      </c>
      <c r="AA360" t="str">
        <f t="shared" si="5"/>
        <v>Pilbara Crusher Plant|2022-02</v>
      </c>
    </row>
    <row r="361" spans="1:27" x14ac:dyDescent="0.35">
      <c r="A361" t="s">
        <v>459</v>
      </c>
      <c r="B361" s="1">
        <v>45018</v>
      </c>
      <c r="C361">
        <v>2023</v>
      </c>
      <c r="D361">
        <v>4</v>
      </c>
      <c r="E361" t="s">
        <v>40</v>
      </c>
      <c r="F361" t="s">
        <v>41</v>
      </c>
      <c r="G361" t="s">
        <v>59</v>
      </c>
      <c r="H361" t="s">
        <v>28</v>
      </c>
      <c r="I361" t="s">
        <v>110</v>
      </c>
      <c r="J361" t="s">
        <v>61</v>
      </c>
      <c r="K361" t="s">
        <v>69</v>
      </c>
      <c r="L361" t="s">
        <v>80</v>
      </c>
      <c r="M361" t="s">
        <v>46</v>
      </c>
      <c r="N361">
        <v>2</v>
      </c>
      <c r="O361" t="s">
        <v>34</v>
      </c>
      <c r="P361" t="s">
        <v>35</v>
      </c>
      <c r="Q361" t="s">
        <v>48</v>
      </c>
      <c r="R361" t="s">
        <v>37</v>
      </c>
      <c r="S361" t="s">
        <v>50</v>
      </c>
      <c r="T361">
        <v>8</v>
      </c>
      <c r="U361">
        <v>48581</v>
      </c>
      <c r="V361">
        <v>1</v>
      </c>
      <c r="W361">
        <v>0</v>
      </c>
      <c r="X361">
        <v>0</v>
      </c>
      <c r="Y361">
        <f>IF(tbl_Incidents[[#This Row],[Lost_Time_Days]]&gt;0, 1, 0)</f>
        <v>1</v>
      </c>
      <c r="Z361" s="1">
        <f>DATE(tbl_Incidents[[#This Row],[Year]], tbl_Incidents[[#This Row],[Month]], 1)</f>
        <v>45017</v>
      </c>
      <c r="AA361" t="str">
        <f t="shared" si="5"/>
        <v>Pilbara Crusher Plant|2023-04</v>
      </c>
    </row>
    <row r="362" spans="1:27" x14ac:dyDescent="0.35">
      <c r="A362" t="s">
        <v>460</v>
      </c>
      <c r="B362" s="1">
        <v>45206</v>
      </c>
      <c r="C362">
        <v>2023</v>
      </c>
      <c r="D362">
        <v>10</v>
      </c>
      <c r="E362" t="s">
        <v>25</v>
      </c>
      <c r="F362" t="s">
        <v>26</v>
      </c>
      <c r="G362" t="s">
        <v>42</v>
      </c>
      <c r="H362" t="s">
        <v>28</v>
      </c>
      <c r="I362" t="s">
        <v>54</v>
      </c>
      <c r="J362" t="s">
        <v>30</v>
      </c>
      <c r="K362" t="s">
        <v>31</v>
      </c>
      <c r="L362" t="s">
        <v>55</v>
      </c>
      <c r="M362" t="s">
        <v>33</v>
      </c>
      <c r="N362">
        <v>0</v>
      </c>
      <c r="O362" t="s">
        <v>34</v>
      </c>
      <c r="P362" t="s">
        <v>47</v>
      </c>
      <c r="Q362" t="s">
        <v>36</v>
      </c>
      <c r="R362" t="s">
        <v>57</v>
      </c>
      <c r="S362" t="s">
        <v>38</v>
      </c>
      <c r="T362">
        <v>11</v>
      </c>
      <c r="U362">
        <v>83478</v>
      </c>
      <c r="V362">
        <v>0</v>
      </c>
      <c r="W362">
        <v>0</v>
      </c>
      <c r="X362">
        <v>0</v>
      </c>
      <c r="Y362">
        <f>IF(tbl_Incidents[[#This Row],[Lost_Time_Days]]&gt;0, 1, 0)</f>
        <v>0</v>
      </c>
      <c r="Z362" s="1">
        <f>DATE(tbl_Incidents[[#This Row],[Year]], tbl_Incidents[[#This Row],[Month]], 1)</f>
        <v>45200</v>
      </c>
      <c r="AA362" t="str">
        <f t="shared" si="5"/>
        <v>Darwin Port Facility|2023-10</v>
      </c>
    </row>
    <row r="363" spans="1:27" x14ac:dyDescent="0.35">
      <c r="A363" t="s">
        <v>461</v>
      </c>
      <c r="B363" s="1">
        <v>44600</v>
      </c>
      <c r="C363">
        <v>2022</v>
      </c>
      <c r="D363">
        <v>2</v>
      </c>
      <c r="E363" t="s">
        <v>52</v>
      </c>
      <c r="F363" t="s">
        <v>53</v>
      </c>
      <c r="G363" t="s">
        <v>27</v>
      </c>
      <c r="H363" t="s">
        <v>68</v>
      </c>
      <c r="I363" t="s">
        <v>29</v>
      </c>
      <c r="J363" t="s">
        <v>30</v>
      </c>
      <c r="K363" t="s">
        <v>31</v>
      </c>
      <c r="L363" t="s">
        <v>93</v>
      </c>
      <c r="M363" t="s">
        <v>56</v>
      </c>
      <c r="N363">
        <v>0</v>
      </c>
      <c r="O363" t="s">
        <v>90</v>
      </c>
      <c r="P363" t="s">
        <v>35</v>
      </c>
      <c r="Q363" t="s">
        <v>76</v>
      </c>
      <c r="R363" t="s">
        <v>57</v>
      </c>
      <c r="S363" t="s">
        <v>38</v>
      </c>
      <c r="T363">
        <v>11</v>
      </c>
      <c r="U363">
        <v>90860</v>
      </c>
      <c r="V363">
        <v>0</v>
      </c>
      <c r="W363">
        <v>0</v>
      </c>
      <c r="X363">
        <v>0</v>
      </c>
      <c r="Y363">
        <f>IF(tbl_Incidents[[#This Row],[Lost_Time_Days]]&gt;0, 1, 0)</f>
        <v>0</v>
      </c>
      <c r="Z363" s="1">
        <f>DATE(tbl_Incidents[[#This Row],[Year]], tbl_Incidents[[#This Row],[Month]], 1)</f>
        <v>44593</v>
      </c>
      <c r="AA363" t="str">
        <f t="shared" si="5"/>
        <v>Thunderbird Mine|2022-02</v>
      </c>
    </row>
    <row r="364" spans="1:27" x14ac:dyDescent="0.35">
      <c r="A364" t="s">
        <v>462</v>
      </c>
      <c r="B364" s="1">
        <v>44976</v>
      </c>
      <c r="C364">
        <v>2023</v>
      </c>
      <c r="D364">
        <v>2</v>
      </c>
      <c r="E364" t="s">
        <v>52</v>
      </c>
      <c r="F364" t="s">
        <v>53</v>
      </c>
      <c r="G364" t="s">
        <v>27</v>
      </c>
      <c r="H364" t="s">
        <v>86</v>
      </c>
      <c r="I364" t="s">
        <v>110</v>
      </c>
      <c r="J364" t="s">
        <v>61</v>
      </c>
      <c r="K364" t="s">
        <v>165</v>
      </c>
      <c r="L364" t="s">
        <v>103</v>
      </c>
      <c r="M364" t="s">
        <v>33</v>
      </c>
      <c r="N364">
        <v>11</v>
      </c>
      <c r="O364" t="s">
        <v>75</v>
      </c>
      <c r="P364" t="s">
        <v>35</v>
      </c>
      <c r="Q364" t="s">
        <v>76</v>
      </c>
      <c r="R364" t="s">
        <v>57</v>
      </c>
      <c r="S364" t="s">
        <v>38</v>
      </c>
      <c r="T364">
        <v>10</v>
      </c>
      <c r="U364">
        <v>105907</v>
      </c>
      <c r="V364">
        <v>1</v>
      </c>
      <c r="W364">
        <v>0</v>
      </c>
      <c r="X364">
        <v>0</v>
      </c>
      <c r="Y364">
        <f>IF(tbl_Incidents[[#This Row],[Lost_Time_Days]]&gt;0, 1, 0)</f>
        <v>1</v>
      </c>
      <c r="Z364" s="1">
        <f>DATE(tbl_Incidents[[#This Row],[Year]], tbl_Incidents[[#This Row],[Month]], 1)</f>
        <v>44958</v>
      </c>
      <c r="AA364" t="str">
        <f t="shared" si="5"/>
        <v>Thunderbird Mine|2023-02</v>
      </c>
    </row>
    <row r="365" spans="1:27" x14ac:dyDescent="0.35">
      <c r="A365" t="s">
        <v>463</v>
      </c>
      <c r="B365" s="1">
        <v>45367</v>
      </c>
      <c r="C365">
        <v>2024</v>
      </c>
      <c r="D365">
        <v>3</v>
      </c>
      <c r="E365" t="s">
        <v>125</v>
      </c>
      <c r="F365" t="s">
        <v>53</v>
      </c>
      <c r="G365" t="s">
        <v>59</v>
      </c>
      <c r="H365" t="s">
        <v>43</v>
      </c>
      <c r="I365" t="s">
        <v>79</v>
      </c>
      <c r="J365" t="s">
        <v>30</v>
      </c>
      <c r="K365" t="s">
        <v>31</v>
      </c>
      <c r="L365" t="s">
        <v>74</v>
      </c>
      <c r="M365" t="s">
        <v>56</v>
      </c>
      <c r="N365">
        <v>0</v>
      </c>
      <c r="O365" t="s">
        <v>70</v>
      </c>
      <c r="P365" t="s">
        <v>47</v>
      </c>
      <c r="Q365" t="s">
        <v>64</v>
      </c>
      <c r="R365" t="s">
        <v>49</v>
      </c>
      <c r="S365" t="s">
        <v>38</v>
      </c>
      <c r="T365">
        <v>11</v>
      </c>
      <c r="U365">
        <v>60489</v>
      </c>
      <c r="V365">
        <v>0</v>
      </c>
      <c r="W365">
        <v>0</v>
      </c>
      <c r="X365">
        <v>0</v>
      </c>
      <c r="Y365">
        <f>IF(tbl_Incidents[[#This Row],[Lost_Time_Days]]&gt;0, 1, 0)</f>
        <v>0</v>
      </c>
      <c r="Z365" s="1">
        <f>DATE(tbl_Incidents[[#This Row],[Year]], tbl_Incidents[[#This Row],[Month]], 1)</f>
        <v>45352</v>
      </c>
      <c r="AA365" t="str">
        <f t="shared" si="5"/>
        <v>Pilbara Crusher Plant|2024-03</v>
      </c>
    </row>
    <row r="366" spans="1:27" x14ac:dyDescent="0.35">
      <c r="A366" t="s">
        <v>464</v>
      </c>
      <c r="B366" s="1">
        <v>45108</v>
      </c>
      <c r="C366">
        <v>2023</v>
      </c>
      <c r="D366">
        <v>7</v>
      </c>
      <c r="E366" t="s">
        <v>85</v>
      </c>
      <c r="F366" t="s">
        <v>67</v>
      </c>
      <c r="G366" t="s">
        <v>42</v>
      </c>
      <c r="H366" t="s">
        <v>28</v>
      </c>
      <c r="I366" t="s">
        <v>44</v>
      </c>
      <c r="J366" t="s">
        <v>30</v>
      </c>
      <c r="K366" t="s">
        <v>139</v>
      </c>
      <c r="L366" t="s">
        <v>103</v>
      </c>
      <c r="M366" t="s">
        <v>56</v>
      </c>
      <c r="N366">
        <v>0</v>
      </c>
      <c r="O366" t="s">
        <v>75</v>
      </c>
      <c r="P366" t="s">
        <v>35</v>
      </c>
      <c r="Q366" t="s">
        <v>81</v>
      </c>
      <c r="R366" t="s">
        <v>57</v>
      </c>
      <c r="S366" t="s">
        <v>38</v>
      </c>
      <c r="T366">
        <v>12</v>
      </c>
      <c r="U366">
        <v>112754</v>
      </c>
      <c r="V366">
        <v>0</v>
      </c>
      <c r="W366">
        <v>0</v>
      </c>
      <c r="X366">
        <v>0</v>
      </c>
      <c r="Y366">
        <f>IF(tbl_Incidents[[#This Row],[Lost_Time_Days]]&gt;0, 1, 0)</f>
        <v>0</v>
      </c>
      <c r="Z366" s="1">
        <f>DATE(tbl_Incidents[[#This Row],[Year]], tbl_Incidents[[#This Row],[Month]], 1)</f>
        <v>45108</v>
      </c>
      <c r="AA366" t="str">
        <f t="shared" si="5"/>
        <v>Darwin Port Facility|2023-07</v>
      </c>
    </row>
    <row r="367" spans="1:27" x14ac:dyDescent="0.35">
      <c r="A367" t="s">
        <v>465</v>
      </c>
      <c r="B367" s="1">
        <v>44706</v>
      </c>
      <c r="C367">
        <v>2022</v>
      </c>
      <c r="D367">
        <v>5</v>
      </c>
      <c r="E367" t="s">
        <v>109</v>
      </c>
      <c r="F367" t="s">
        <v>41</v>
      </c>
      <c r="G367" t="s">
        <v>27</v>
      </c>
      <c r="H367" t="s">
        <v>68</v>
      </c>
      <c r="I367" t="s">
        <v>29</v>
      </c>
      <c r="J367" t="s">
        <v>30</v>
      </c>
      <c r="K367" t="s">
        <v>31</v>
      </c>
      <c r="L367" t="s">
        <v>95</v>
      </c>
      <c r="M367" t="s">
        <v>46</v>
      </c>
      <c r="N367">
        <v>0</v>
      </c>
      <c r="O367" t="s">
        <v>63</v>
      </c>
      <c r="P367" t="s">
        <v>35</v>
      </c>
      <c r="Q367" t="s">
        <v>81</v>
      </c>
      <c r="R367" t="s">
        <v>57</v>
      </c>
      <c r="S367" t="s">
        <v>38</v>
      </c>
      <c r="T367">
        <v>9</v>
      </c>
      <c r="U367">
        <v>94087</v>
      </c>
      <c r="V367">
        <v>0</v>
      </c>
      <c r="W367">
        <v>0</v>
      </c>
      <c r="X367">
        <v>1</v>
      </c>
      <c r="Y367">
        <f>IF(tbl_Incidents[[#This Row],[Lost_Time_Days]]&gt;0, 1, 0)</f>
        <v>0</v>
      </c>
      <c r="Z367" s="1">
        <f>DATE(tbl_Incidents[[#This Row],[Year]], tbl_Incidents[[#This Row],[Month]], 1)</f>
        <v>44682</v>
      </c>
      <c r="AA367" t="str">
        <f t="shared" si="5"/>
        <v>Thunderbird Mine|2022-05</v>
      </c>
    </row>
    <row r="368" spans="1:27" x14ac:dyDescent="0.35">
      <c r="A368" t="s">
        <v>466</v>
      </c>
      <c r="B368" s="1">
        <v>45433</v>
      </c>
      <c r="C368">
        <v>2024</v>
      </c>
      <c r="D368">
        <v>5</v>
      </c>
      <c r="E368" t="s">
        <v>109</v>
      </c>
      <c r="F368" t="s">
        <v>41</v>
      </c>
      <c r="G368" t="s">
        <v>42</v>
      </c>
      <c r="H368" t="s">
        <v>73</v>
      </c>
      <c r="I368" t="s">
        <v>98</v>
      </c>
      <c r="J368" t="s">
        <v>30</v>
      </c>
      <c r="K368" t="s">
        <v>31</v>
      </c>
      <c r="L368" t="s">
        <v>93</v>
      </c>
      <c r="M368" t="s">
        <v>33</v>
      </c>
      <c r="N368">
        <v>0</v>
      </c>
      <c r="O368" t="s">
        <v>90</v>
      </c>
      <c r="P368" t="s">
        <v>91</v>
      </c>
      <c r="Q368" t="s">
        <v>48</v>
      </c>
      <c r="R368" t="s">
        <v>57</v>
      </c>
      <c r="S368" t="s">
        <v>38</v>
      </c>
      <c r="T368">
        <v>12</v>
      </c>
      <c r="U368">
        <v>47128</v>
      </c>
      <c r="V368">
        <v>0</v>
      </c>
      <c r="W368">
        <v>0</v>
      </c>
      <c r="X368">
        <v>0</v>
      </c>
      <c r="Y368">
        <f>IF(tbl_Incidents[[#This Row],[Lost_Time_Days]]&gt;0, 1, 0)</f>
        <v>0</v>
      </c>
      <c r="Z368" s="1">
        <f>DATE(tbl_Incidents[[#This Row],[Year]], tbl_Incidents[[#This Row],[Month]], 1)</f>
        <v>45413</v>
      </c>
      <c r="AA368" t="str">
        <f t="shared" si="5"/>
        <v>Darwin Port Facility|2024-05</v>
      </c>
    </row>
    <row r="369" spans="1:27" x14ac:dyDescent="0.35">
      <c r="A369" t="s">
        <v>467</v>
      </c>
      <c r="B369" s="1">
        <v>45433</v>
      </c>
      <c r="C369">
        <v>2024</v>
      </c>
      <c r="D369">
        <v>5</v>
      </c>
      <c r="E369" t="s">
        <v>109</v>
      </c>
      <c r="F369" t="s">
        <v>41</v>
      </c>
      <c r="G369" t="s">
        <v>78</v>
      </c>
      <c r="H369" t="s">
        <v>86</v>
      </c>
      <c r="I369" t="s">
        <v>54</v>
      </c>
      <c r="J369" t="s">
        <v>30</v>
      </c>
      <c r="K369" t="s">
        <v>31</v>
      </c>
      <c r="L369" t="s">
        <v>103</v>
      </c>
      <c r="M369" t="s">
        <v>33</v>
      </c>
      <c r="N369">
        <v>0</v>
      </c>
      <c r="O369" t="s">
        <v>34</v>
      </c>
      <c r="P369" t="s">
        <v>35</v>
      </c>
      <c r="Q369" t="s">
        <v>81</v>
      </c>
      <c r="R369" t="s">
        <v>57</v>
      </c>
      <c r="S369" t="s">
        <v>38</v>
      </c>
      <c r="T369">
        <v>12</v>
      </c>
      <c r="U369">
        <v>103857</v>
      </c>
      <c r="V369">
        <v>0</v>
      </c>
      <c r="W369">
        <v>0</v>
      </c>
      <c r="X369">
        <v>0</v>
      </c>
      <c r="Y369">
        <f>IF(tbl_Incidents[[#This Row],[Lost_Time_Days]]&gt;0, 1, 0)</f>
        <v>0</v>
      </c>
      <c r="Z369" s="1">
        <f>DATE(tbl_Incidents[[#This Row],[Year]], tbl_Incidents[[#This Row],[Month]], 1)</f>
        <v>45413</v>
      </c>
      <c r="AA369" t="str">
        <f t="shared" si="5"/>
        <v>Broome Logistics Hub|2024-05</v>
      </c>
    </row>
    <row r="370" spans="1:27" x14ac:dyDescent="0.35">
      <c r="A370" t="s">
        <v>468</v>
      </c>
      <c r="B370" s="1">
        <v>44900</v>
      </c>
      <c r="C370">
        <v>2022</v>
      </c>
      <c r="D370">
        <v>12</v>
      </c>
      <c r="E370" t="s">
        <v>123</v>
      </c>
      <c r="F370" t="s">
        <v>26</v>
      </c>
      <c r="G370" t="s">
        <v>42</v>
      </c>
      <c r="H370" t="s">
        <v>28</v>
      </c>
      <c r="I370" t="s">
        <v>60</v>
      </c>
      <c r="J370" t="s">
        <v>61</v>
      </c>
      <c r="K370" t="s">
        <v>69</v>
      </c>
      <c r="L370" t="s">
        <v>74</v>
      </c>
      <c r="M370" t="s">
        <v>56</v>
      </c>
      <c r="N370">
        <v>0</v>
      </c>
      <c r="O370" t="s">
        <v>90</v>
      </c>
      <c r="P370" t="s">
        <v>35</v>
      </c>
      <c r="Q370" t="s">
        <v>48</v>
      </c>
      <c r="R370" t="s">
        <v>57</v>
      </c>
      <c r="S370" t="s">
        <v>88</v>
      </c>
      <c r="T370">
        <v>11</v>
      </c>
      <c r="U370">
        <v>83036</v>
      </c>
      <c r="V370">
        <v>1</v>
      </c>
      <c r="W370">
        <v>0</v>
      </c>
      <c r="X370">
        <v>0</v>
      </c>
      <c r="Y370">
        <f>IF(tbl_Incidents[[#This Row],[Lost_Time_Days]]&gt;0, 1, 0)</f>
        <v>0</v>
      </c>
      <c r="Z370" s="1">
        <f>DATE(tbl_Incidents[[#This Row],[Year]], tbl_Incidents[[#This Row],[Month]], 1)</f>
        <v>44896</v>
      </c>
      <c r="AA370" t="str">
        <f t="shared" si="5"/>
        <v>Darwin Port Facility|2022-12</v>
      </c>
    </row>
    <row r="371" spans="1:27" x14ac:dyDescent="0.35">
      <c r="A371" t="s">
        <v>469</v>
      </c>
      <c r="B371" s="1">
        <v>45193</v>
      </c>
      <c r="C371">
        <v>2023</v>
      </c>
      <c r="D371">
        <v>9</v>
      </c>
      <c r="E371" t="s">
        <v>97</v>
      </c>
      <c r="F371" t="s">
        <v>67</v>
      </c>
      <c r="G371" t="s">
        <v>59</v>
      </c>
      <c r="H371" t="s">
        <v>28</v>
      </c>
      <c r="I371" t="s">
        <v>79</v>
      </c>
      <c r="J371" t="s">
        <v>30</v>
      </c>
      <c r="K371" t="s">
        <v>31</v>
      </c>
      <c r="L371" t="s">
        <v>95</v>
      </c>
      <c r="M371" t="s">
        <v>33</v>
      </c>
      <c r="N371">
        <v>0</v>
      </c>
      <c r="O371" t="s">
        <v>90</v>
      </c>
      <c r="P371" t="s">
        <v>91</v>
      </c>
      <c r="Q371" t="s">
        <v>81</v>
      </c>
      <c r="R371" t="s">
        <v>49</v>
      </c>
      <c r="S371" t="s">
        <v>38</v>
      </c>
      <c r="T371">
        <v>8</v>
      </c>
      <c r="U371">
        <v>81053</v>
      </c>
      <c r="V371">
        <v>0</v>
      </c>
      <c r="W371">
        <v>0</v>
      </c>
      <c r="X371">
        <v>0</v>
      </c>
      <c r="Y371">
        <f>IF(tbl_Incidents[[#This Row],[Lost_Time_Days]]&gt;0, 1, 0)</f>
        <v>0</v>
      </c>
      <c r="Z371" s="1">
        <f>DATE(tbl_Incidents[[#This Row],[Year]], tbl_Incidents[[#This Row],[Month]], 1)</f>
        <v>45170</v>
      </c>
      <c r="AA371" t="str">
        <f t="shared" si="5"/>
        <v>Pilbara Crusher Plant|2023-09</v>
      </c>
    </row>
    <row r="372" spans="1:27" x14ac:dyDescent="0.35">
      <c r="A372" t="s">
        <v>470</v>
      </c>
      <c r="B372" s="1">
        <v>44814</v>
      </c>
      <c r="C372">
        <v>2022</v>
      </c>
      <c r="D372">
        <v>9</v>
      </c>
      <c r="E372" t="s">
        <v>97</v>
      </c>
      <c r="F372" t="s">
        <v>67</v>
      </c>
      <c r="G372" t="s">
        <v>42</v>
      </c>
      <c r="H372" t="s">
        <v>28</v>
      </c>
      <c r="I372" t="s">
        <v>54</v>
      </c>
      <c r="J372" t="s">
        <v>30</v>
      </c>
      <c r="K372" t="s">
        <v>31</v>
      </c>
      <c r="L372" t="s">
        <v>55</v>
      </c>
      <c r="M372" t="s">
        <v>56</v>
      </c>
      <c r="N372">
        <v>0</v>
      </c>
      <c r="O372" t="s">
        <v>70</v>
      </c>
      <c r="P372" t="s">
        <v>91</v>
      </c>
      <c r="Q372" t="s">
        <v>48</v>
      </c>
      <c r="R372" t="s">
        <v>57</v>
      </c>
      <c r="S372" t="s">
        <v>88</v>
      </c>
      <c r="T372">
        <v>11</v>
      </c>
      <c r="U372">
        <v>98373</v>
      </c>
      <c r="V372">
        <v>0</v>
      </c>
      <c r="W372">
        <v>0</v>
      </c>
      <c r="X372">
        <v>0</v>
      </c>
      <c r="Y372">
        <f>IF(tbl_Incidents[[#This Row],[Lost_Time_Days]]&gt;0, 1, 0)</f>
        <v>0</v>
      </c>
      <c r="Z372" s="1">
        <f>DATE(tbl_Incidents[[#This Row],[Year]], tbl_Incidents[[#This Row],[Month]], 1)</f>
        <v>44805</v>
      </c>
      <c r="AA372" t="str">
        <f t="shared" si="5"/>
        <v>Darwin Port Facility|2022-09</v>
      </c>
    </row>
    <row r="373" spans="1:27" x14ac:dyDescent="0.35">
      <c r="A373" t="s">
        <v>471</v>
      </c>
      <c r="B373" s="1">
        <v>44929</v>
      </c>
      <c r="C373">
        <v>2023</v>
      </c>
      <c r="D373">
        <v>1</v>
      </c>
      <c r="E373" t="s">
        <v>129</v>
      </c>
      <c r="F373" t="s">
        <v>53</v>
      </c>
      <c r="G373" t="s">
        <v>59</v>
      </c>
      <c r="H373" t="s">
        <v>86</v>
      </c>
      <c r="I373" t="s">
        <v>54</v>
      </c>
      <c r="J373" t="s">
        <v>30</v>
      </c>
      <c r="K373" t="s">
        <v>31</v>
      </c>
      <c r="L373" t="s">
        <v>103</v>
      </c>
      <c r="M373" t="s">
        <v>33</v>
      </c>
      <c r="N373">
        <v>0</v>
      </c>
      <c r="O373" t="s">
        <v>34</v>
      </c>
      <c r="P373" t="s">
        <v>35</v>
      </c>
      <c r="Q373" t="s">
        <v>81</v>
      </c>
      <c r="R373" t="s">
        <v>57</v>
      </c>
      <c r="S373" t="s">
        <v>50</v>
      </c>
      <c r="T373">
        <v>9</v>
      </c>
      <c r="U373">
        <v>74502</v>
      </c>
      <c r="V373">
        <v>0</v>
      </c>
      <c r="W373">
        <v>0</v>
      </c>
      <c r="X373">
        <v>0</v>
      </c>
      <c r="Y373">
        <f>IF(tbl_Incidents[[#This Row],[Lost_Time_Days]]&gt;0, 1, 0)</f>
        <v>0</v>
      </c>
      <c r="Z373" s="1">
        <f>DATE(tbl_Incidents[[#This Row],[Year]], tbl_Incidents[[#This Row],[Month]], 1)</f>
        <v>44927</v>
      </c>
      <c r="AA373" t="str">
        <f t="shared" si="5"/>
        <v>Pilbara Crusher Plant|2023-01</v>
      </c>
    </row>
    <row r="374" spans="1:27" x14ac:dyDescent="0.35">
      <c r="A374" t="s">
        <v>472</v>
      </c>
      <c r="B374" s="1">
        <v>45313</v>
      </c>
      <c r="C374">
        <v>2024</v>
      </c>
      <c r="D374">
        <v>1</v>
      </c>
      <c r="E374" t="s">
        <v>129</v>
      </c>
      <c r="F374" t="s">
        <v>53</v>
      </c>
      <c r="G374" t="s">
        <v>27</v>
      </c>
      <c r="H374" t="s">
        <v>28</v>
      </c>
      <c r="I374" t="s">
        <v>79</v>
      </c>
      <c r="J374" t="s">
        <v>30</v>
      </c>
      <c r="K374" t="s">
        <v>31</v>
      </c>
      <c r="L374" t="s">
        <v>74</v>
      </c>
      <c r="M374" t="s">
        <v>33</v>
      </c>
      <c r="N374">
        <v>0</v>
      </c>
      <c r="O374" t="s">
        <v>70</v>
      </c>
      <c r="P374" t="s">
        <v>35</v>
      </c>
      <c r="Q374" t="s">
        <v>76</v>
      </c>
      <c r="R374" t="s">
        <v>37</v>
      </c>
      <c r="S374" t="s">
        <v>88</v>
      </c>
      <c r="T374">
        <v>12</v>
      </c>
      <c r="U374">
        <v>67886</v>
      </c>
      <c r="V374">
        <v>0</v>
      </c>
      <c r="W374">
        <v>0</v>
      </c>
      <c r="X374">
        <v>0</v>
      </c>
      <c r="Y374">
        <f>IF(tbl_Incidents[[#This Row],[Lost_Time_Days]]&gt;0, 1, 0)</f>
        <v>0</v>
      </c>
      <c r="Z374" s="1">
        <f>DATE(tbl_Incidents[[#This Row],[Year]], tbl_Incidents[[#This Row],[Month]], 1)</f>
        <v>45292</v>
      </c>
      <c r="AA374" t="str">
        <f t="shared" si="5"/>
        <v>Thunderbird Mine|2024-01</v>
      </c>
    </row>
    <row r="375" spans="1:27" x14ac:dyDescent="0.35">
      <c r="A375" t="s">
        <v>473</v>
      </c>
      <c r="B375" s="1">
        <v>44599</v>
      </c>
      <c r="C375">
        <v>2022</v>
      </c>
      <c r="D375">
        <v>2</v>
      </c>
      <c r="E375" t="s">
        <v>52</v>
      </c>
      <c r="F375" t="s">
        <v>53</v>
      </c>
      <c r="G375" t="s">
        <v>59</v>
      </c>
      <c r="H375" t="s">
        <v>43</v>
      </c>
      <c r="I375" t="s">
        <v>98</v>
      </c>
      <c r="J375" t="s">
        <v>30</v>
      </c>
      <c r="K375" t="s">
        <v>31</v>
      </c>
      <c r="L375" t="s">
        <v>103</v>
      </c>
      <c r="M375" t="s">
        <v>56</v>
      </c>
      <c r="N375">
        <v>0</v>
      </c>
      <c r="O375" t="s">
        <v>75</v>
      </c>
      <c r="P375" t="s">
        <v>35</v>
      </c>
      <c r="Q375" t="s">
        <v>81</v>
      </c>
      <c r="R375" t="s">
        <v>49</v>
      </c>
      <c r="S375" t="s">
        <v>38</v>
      </c>
      <c r="T375">
        <v>12</v>
      </c>
      <c r="U375">
        <v>78141</v>
      </c>
      <c r="V375">
        <v>0</v>
      </c>
      <c r="W375">
        <v>0</v>
      </c>
      <c r="X375">
        <v>0</v>
      </c>
      <c r="Y375">
        <f>IF(tbl_Incidents[[#This Row],[Lost_Time_Days]]&gt;0, 1, 0)</f>
        <v>0</v>
      </c>
      <c r="Z375" s="1">
        <f>DATE(tbl_Incidents[[#This Row],[Year]], tbl_Incidents[[#This Row],[Month]], 1)</f>
        <v>44593</v>
      </c>
      <c r="AA375" t="str">
        <f t="shared" si="5"/>
        <v>Pilbara Crusher Plant|2022-02</v>
      </c>
    </row>
    <row r="376" spans="1:27" x14ac:dyDescent="0.35">
      <c r="A376" t="s">
        <v>474</v>
      </c>
      <c r="B376" s="1">
        <v>44699</v>
      </c>
      <c r="C376">
        <v>2022</v>
      </c>
      <c r="D376">
        <v>5</v>
      </c>
      <c r="E376" t="s">
        <v>109</v>
      </c>
      <c r="F376" t="s">
        <v>41</v>
      </c>
      <c r="G376" t="s">
        <v>78</v>
      </c>
      <c r="H376" t="s">
        <v>68</v>
      </c>
      <c r="I376" t="s">
        <v>110</v>
      </c>
      <c r="J376" t="s">
        <v>61</v>
      </c>
      <c r="K376" t="s">
        <v>139</v>
      </c>
      <c r="L376" t="s">
        <v>80</v>
      </c>
      <c r="M376" t="s">
        <v>46</v>
      </c>
      <c r="N376">
        <v>17</v>
      </c>
      <c r="O376" t="s">
        <v>34</v>
      </c>
      <c r="P376" t="s">
        <v>35</v>
      </c>
      <c r="Q376" t="s">
        <v>76</v>
      </c>
      <c r="R376" t="s">
        <v>57</v>
      </c>
      <c r="S376" t="s">
        <v>50</v>
      </c>
      <c r="T376">
        <v>9</v>
      </c>
      <c r="U376">
        <v>98487</v>
      </c>
      <c r="V376">
        <v>1</v>
      </c>
      <c r="W376">
        <v>0</v>
      </c>
      <c r="X376">
        <v>0</v>
      </c>
      <c r="Y376">
        <f>IF(tbl_Incidents[[#This Row],[Lost_Time_Days]]&gt;0, 1, 0)</f>
        <v>1</v>
      </c>
      <c r="Z376" s="1">
        <f>DATE(tbl_Incidents[[#This Row],[Year]], tbl_Incidents[[#This Row],[Month]], 1)</f>
        <v>44682</v>
      </c>
      <c r="AA376" t="str">
        <f t="shared" si="5"/>
        <v>Broome Logistics Hub|2022-05</v>
      </c>
    </row>
    <row r="377" spans="1:27" x14ac:dyDescent="0.35">
      <c r="A377" t="s">
        <v>475</v>
      </c>
      <c r="B377" s="1">
        <v>45141</v>
      </c>
      <c r="C377">
        <v>2023</v>
      </c>
      <c r="D377">
        <v>8</v>
      </c>
      <c r="E377" t="s">
        <v>66</v>
      </c>
      <c r="F377" t="s">
        <v>67</v>
      </c>
      <c r="G377" t="s">
        <v>42</v>
      </c>
      <c r="H377" t="s">
        <v>28</v>
      </c>
      <c r="I377" t="s">
        <v>98</v>
      </c>
      <c r="J377" t="s">
        <v>30</v>
      </c>
      <c r="K377" t="s">
        <v>31</v>
      </c>
      <c r="L377" t="s">
        <v>83</v>
      </c>
      <c r="M377" t="s">
        <v>56</v>
      </c>
      <c r="N377">
        <v>0</v>
      </c>
      <c r="O377" t="s">
        <v>34</v>
      </c>
      <c r="P377" t="s">
        <v>35</v>
      </c>
      <c r="Q377" t="s">
        <v>64</v>
      </c>
      <c r="R377" t="s">
        <v>57</v>
      </c>
      <c r="S377" t="s">
        <v>38</v>
      </c>
      <c r="T377">
        <v>10</v>
      </c>
      <c r="U377">
        <v>88422</v>
      </c>
      <c r="V377">
        <v>0</v>
      </c>
      <c r="W377">
        <v>0</v>
      </c>
      <c r="X377">
        <v>0</v>
      </c>
      <c r="Y377">
        <f>IF(tbl_Incidents[[#This Row],[Lost_Time_Days]]&gt;0, 1, 0)</f>
        <v>0</v>
      </c>
      <c r="Z377" s="1">
        <f>DATE(tbl_Incidents[[#This Row],[Year]], tbl_Incidents[[#This Row],[Month]], 1)</f>
        <v>45139</v>
      </c>
      <c r="AA377" t="str">
        <f t="shared" si="5"/>
        <v>Darwin Port Facility|2023-08</v>
      </c>
    </row>
    <row r="378" spans="1:27" x14ac:dyDescent="0.35">
      <c r="A378" t="s">
        <v>476</v>
      </c>
      <c r="B378" s="1">
        <v>44801</v>
      </c>
      <c r="C378">
        <v>2022</v>
      </c>
      <c r="D378">
        <v>8</v>
      </c>
      <c r="E378" t="s">
        <v>66</v>
      </c>
      <c r="F378" t="s">
        <v>67</v>
      </c>
      <c r="G378" t="s">
        <v>42</v>
      </c>
      <c r="H378" t="s">
        <v>43</v>
      </c>
      <c r="I378" t="s">
        <v>29</v>
      </c>
      <c r="J378" t="s">
        <v>30</v>
      </c>
      <c r="K378" t="s">
        <v>31</v>
      </c>
      <c r="L378" t="s">
        <v>80</v>
      </c>
      <c r="M378" t="s">
        <v>56</v>
      </c>
      <c r="N378">
        <v>0</v>
      </c>
      <c r="O378" t="s">
        <v>63</v>
      </c>
      <c r="P378" t="s">
        <v>47</v>
      </c>
      <c r="Q378" t="s">
        <v>36</v>
      </c>
      <c r="R378" t="s">
        <v>57</v>
      </c>
      <c r="S378" t="s">
        <v>38</v>
      </c>
      <c r="T378">
        <v>8</v>
      </c>
      <c r="U378">
        <v>108337</v>
      </c>
      <c r="V378">
        <v>0</v>
      </c>
      <c r="W378">
        <v>0</v>
      </c>
      <c r="X378">
        <v>0</v>
      </c>
      <c r="Y378">
        <f>IF(tbl_Incidents[[#This Row],[Lost_Time_Days]]&gt;0, 1, 0)</f>
        <v>0</v>
      </c>
      <c r="Z378" s="1">
        <f>DATE(tbl_Incidents[[#This Row],[Year]], tbl_Incidents[[#This Row],[Month]], 1)</f>
        <v>44774</v>
      </c>
      <c r="AA378" t="str">
        <f t="shared" si="5"/>
        <v>Darwin Port Facility|2022-08</v>
      </c>
    </row>
    <row r="379" spans="1:27" x14ac:dyDescent="0.35">
      <c r="A379" t="s">
        <v>477</v>
      </c>
      <c r="B379" s="1">
        <v>44842</v>
      </c>
      <c r="C379">
        <v>2022</v>
      </c>
      <c r="D379">
        <v>10</v>
      </c>
      <c r="E379" t="s">
        <v>25</v>
      </c>
      <c r="F379" t="s">
        <v>26</v>
      </c>
      <c r="G379" t="s">
        <v>59</v>
      </c>
      <c r="H379" t="s">
        <v>43</v>
      </c>
      <c r="I379" t="s">
        <v>54</v>
      </c>
      <c r="J379" t="s">
        <v>30</v>
      </c>
      <c r="K379" t="s">
        <v>31</v>
      </c>
      <c r="L379" t="s">
        <v>103</v>
      </c>
      <c r="M379" t="s">
        <v>46</v>
      </c>
      <c r="N379">
        <v>0</v>
      </c>
      <c r="O379" t="s">
        <v>34</v>
      </c>
      <c r="P379" t="s">
        <v>47</v>
      </c>
      <c r="Q379" t="s">
        <v>64</v>
      </c>
      <c r="R379" t="s">
        <v>57</v>
      </c>
      <c r="S379" t="s">
        <v>50</v>
      </c>
      <c r="T379">
        <v>8</v>
      </c>
      <c r="U379">
        <v>107720</v>
      </c>
      <c r="V379">
        <v>0</v>
      </c>
      <c r="W379">
        <v>0</v>
      </c>
      <c r="X379">
        <v>0</v>
      </c>
      <c r="Y379">
        <f>IF(tbl_Incidents[[#This Row],[Lost_Time_Days]]&gt;0, 1, 0)</f>
        <v>0</v>
      </c>
      <c r="Z379" s="1">
        <f>DATE(tbl_Incidents[[#This Row],[Year]], tbl_Incidents[[#This Row],[Month]], 1)</f>
        <v>44835</v>
      </c>
      <c r="AA379" t="str">
        <f t="shared" si="5"/>
        <v>Pilbara Crusher Plant|2022-10</v>
      </c>
    </row>
    <row r="380" spans="1:27" x14ac:dyDescent="0.35">
      <c r="A380" t="s">
        <v>478</v>
      </c>
      <c r="B380" s="1">
        <v>44819</v>
      </c>
      <c r="C380">
        <v>2022</v>
      </c>
      <c r="D380">
        <v>9</v>
      </c>
      <c r="E380" t="s">
        <v>97</v>
      </c>
      <c r="F380" t="s">
        <v>67</v>
      </c>
      <c r="G380" t="s">
        <v>42</v>
      </c>
      <c r="H380" t="s">
        <v>43</v>
      </c>
      <c r="I380" t="s">
        <v>110</v>
      </c>
      <c r="J380" t="s">
        <v>61</v>
      </c>
      <c r="K380" t="s">
        <v>139</v>
      </c>
      <c r="L380" t="s">
        <v>80</v>
      </c>
      <c r="M380" t="s">
        <v>56</v>
      </c>
      <c r="N380">
        <v>30</v>
      </c>
      <c r="O380" t="s">
        <v>63</v>
      </c>
      <c r="P380" t="s">
        <v>47</v>
      </c>
      <c r="Q380" t="s">
        <v>76</v>
      </c>
      <c r="R380" t="s">
        <v>57</v>
      </c>
      <c r="S380" t="s">
        <v>50</v>
      </c>
      <c r="T380">
        <v>9</v>
      </c>
      <c r="U380">
        <v>97658</v>
      </c>
      <c r="V380">
        <v>1</v>
      </c>
      <c r="W380">
        <v>0</v>
      </c>
      <c r="X380">
        <v>0</v>
      </c>
      <c r="Y380">
        <f>IF(tbl_Incidents[[#This Row],[Lost_Time_Days]]&gt;0, 1, 0)</f>
        <v>1</v>
      </c>
      <c r="Z380" s="1">
        <f>DATE(tbl_Incidents[[#This Row],[Year]], tbl_Incidents[[#This Row],[Month]], 1)</f>
        <v>44805</v>
      </c>
      <c r="AA380" t="str">
        <f t="shared" si="5"/>
        <v>Darwin Port Facility|2022-09</v>
      </c>
    </row>
    <row r="381" spans="1:27" x14ac:dyDescent="0.35">
      <c r="A381" t="s">
        <v>479</v>
      </c>
      <c r="B381" s="1">
        <v>44640</v>
      </c>
      <c r="C381">
        <v>2022</v>
      </c>
      <c r="D381">
        <v>3</v>
      </c>
      <c r="E381" t="s">
        <v>125</v>
      </c>
      <c r="F381" t="s">
        <v>53</v>
      </c>
      <c r="G381" t="s">
        <v>59</v>
      </c>
      <c r="H381" t="s">
        <v>73</v>
      </c>
      <c r="I381" t="s">
        <v>98</v>
      </c>
      <c r="J381" t="s">
        <v>30</v>
      </c>
      <c r="K381" t="s">
        <v>31</v>
      </c>
      <c r="L381" t="s">
        <v>93</v>
      </c>
      <c r="M381" t="s">
        <v>33</v>
      </c>
      <c r="N381">
        <v>0</v>
      </c>
      <c r="O381" t="s">
        <v>34</v>
      </c>
      <c r="P381" t="s">
        <v>91</v>
      </c>
      <c r="Q381" t="s">
        <v>76</v>
      </c>
      <c r="R381" t="s">
        <v>57</v>
      </c>
      <c r="S381" t="s">
        <v>38</v>
      </c>
      <c r="T381">
        <v>11</v>
      </c>
      <c r="U381">
        <v>83283</v>
      </c>
      <c r="V381">
        <v>0</v>
      </c>
      <c r="W381">
        <v>0</v>
      </c>
      <c r="X381">
        <v>0</v>
      </c>
      <c r="Y381">
        <f>IF(tbl_Incidents[[#This Row],[Lost_Time_Days]]&gt;0, 1, 0)</f>
        <v>0</v>
      </c>
      <c r="Z381" s="1">
        <f>DATE(tbl_Incidents[[#This Row],[Year]], tbl_Incidents[[#This Row],[Month]], 1)</f>
        <v>44621</v>
      </c>
      <c r="AA381" t="str">
        <f t="shared" si="5"/>
        <v>Pilbara Crusher Plant|2022-03</v>
      </c>
    </row>
    <row r="382" spans="1:27" x14ac:dyDescent="0.35">
      <c r="A382" t="s">
        <v>480</v>
      </c>
      <c r="B382" s="1">
        <v>45299</v>
      </c>
      <c r="C382">
        <v>2024</v>
      </c>
      <c r="D382">
        <v>1</v>
      </c>
      <c r="E382" t="s">
        <v>129</v>
      </c>
      <c r="F382" t="s">
        <v>53</v>
      </c>
      <c r="G382" t="s">
        <v>105</v>
      </c>
      <c r="H382" t="s">
        <v>28</v>
      </c>
      <c r="I382" t="s">
        <v>29</v>
      </c>
      <c r="J382" t="s">
        <v>30</v>
      </c>
      <c r="K382" t="s">
        <v>31</v>
      </c>
      <c r="L382" t="s">
        <v>83</v>
      </c>
      <c r="M382" t="s">
        <v>56</v>
      </c>
      <c r="N382">
        <v>0</v>
      </c>
      <c r="O382" t="s">
        <v>34</v>
      </c>
      <c r="P382" t="s">
        <v>35</v>
      </c>
      <c r="Q382" t="s">
        <v>64</v>
      </c>
      <c r="R382" t="s">
        <v>57</v>
      </c>
      <c r="S382" t="s">
        <v>38</v>
      </c>
      <c r="T382">
        <v>8</v>
      </c>
      <c r="U382">
        <v>56762</v>
      </c>
      <c r="V382">
        <v>0</v>
      </c>
      <c r="W382">
        <v>0</v>
      </c>
      <c r="X382">
        <v>0</v>
      </c>
      <c r="Y382">
        <f>IF(tbl_Incidents[[#This Row],[Lost_Time_Days]]&gt;0, 1, 0)</f>
        <v>0</v>
      </c>
      <c r="Z382" s="1">
        <f>DATE(tbl_Incidents[[#This Row],[Year]], tbl_Incidents[[#This Row],[Month]], 1)</f>
        <v>45292</v>
      </c>
      <c r="AA382" t="str">
        <f t="shared" si="5"/>
        <v>Katherine Processing Site|2024-01</v>
      </c>
    </row>
    <row r="383" spans="1:27" x14ac:dyDescent="0.35">
      <c r="A383" t="s">
        <v>481</v>
      </c>
      <c r="B383" s="1">
        <v>44726</v>
      </c>
      <c r="C383">
        <v>2022</v>
      </c>
      <c r="D383">
        <v>6</v>
      </c>
      <c r="E383" t="s">
        <v>72</v>
      </c>
      <c r="F383" t="s">
        <v>41</v>
      </c>
      <c r="G383" t="s">
        <v>78</v>
      </c>
      <c r="H383" t="s">
        <v>68</v>
      </c>
      <c r="I383" t="s">
        <v>44</v>
      </c>
      <c r="J383" t="s">
        <v>30</v>
      </c>
      <c r="K383" t="s">
        <v>31</v>
      </c>
      <c r="L383" t="s">
        <v>93</v>
      </c>
      <c r="M383" t="s">
        <v>33</v>
      </c>
      <c r="N383">
        <v>0</v>
      </c>
      <c r="O383" t="s">
        <v>34</v>
      </c>
      <c r="P383" t="s">
        <v>91</v>
      </c>
      <c r="Q383" t="s">
        <v>48</v>
      </c>
      <c r="R383" t="s">
        <v>37</v>
      </c>
      <c r="S383" t="s">
        <v>88</v>
      </c>
      <c r="T383">
        <v>12</v>
      </c>
      <c r="U383">
        <v>113872</v>
      </c>
      <c r="V383">
        <v>0</v>
      </c>
      <c r="W383">
        <v>0</v>
      </c>
      <c r="X383">
        <v>0</v>
      </c>
      <c r="Y383">
        <f>IF(tbl_Incidents[[#This Row],[Lost_Time_Days]]&gt;0, 1, 0)</f>
        <v>0</v>
      </c>
      <c r="Z383" s="1">
        <f>DATE(tbl_Incidents[[#This Row],[Year]], tbl_Incidents[[#This Row],[Month]], 1)</f>
        <v>44713</v>
      </c>
      <c r="AA383" t="str">
        <f t="shared" si="5"/>
        <v>Broome Logistics Hub|2022-06</v>
      </c>
    </row>
    <row r="384" spans="1:27" x14ac:dyDescent="0.35">
      <c r="A384" t="s">
        <v>482</v>
      </c>
      <c r="B384" s="1">
        <v>45214</v>
      </c>
      <c r="C384">
        <v>2023</v>
      </c>
      <c r="D384">
        <v>10</v>
      </c>
      <c r="E384" t="s">
        <v>25</v>
      </c>
      <c r="F384" t="s">
        <v>26</v>
      </c>
      <c r="G384" t="s">
        <v>59</v>
      </c>
      <c r="H384" t="s">
        <v>68</v>
      </c>
      <c r="I384" t="s">
        <v>29</v>
      </c>
      <c r="J384" t="s">
        <v>30</v>
      </c>
      <c r="K384" t="s">
        <v>31</v>
      </c>
      <c r="L384" t="s">
        <v>100</v>
      </c>
      <c r="M384" t="s">
        <v>56</v>
      </c>
      <c r="N384">
        <v>0</v>
      </c>
      <c r="O384" t="s">
        <v>90</v>
      </c>
      <c r="P384" t="s">
        <v>47</v>
      </c>
      <c r="Q384" t="s">
        <v>64</v>
      </c>
      <c r="R384" t="s">
        <v>57</v>
      </c>
      <c r="S384" t="s">
        <v>38</v>
      </c>
      <c r="T384">
        <v>11</v>
      </c>
      <c r="U384">
        <v>118753</v>
      </c>
      <c r="V384">
        <v>0</v>
      </c>
      <c r="W384">
        <v>0</v>
      </c>
      <c r="X384">
        <v>0</v>
      </c>
      <c r="Y384">
        <f>IF(tbl_Incidents[[#This Row],[Lost_Time_Days]]&gt;0, 1, 0)</f>
        <v>0</v>
      </c>
      <c r="Z384" s="1">
        <f>DATE(tbl_Incidents[[#This Row],[Year]], tbl_Incidents[[#This Row],[Month]], 1)</f>
        <v>45200</v>
      </c>
      <c r="AA384" t="str">
        <f t="shared" si="5"/>
        <v>Pilbara Crusher Plant|2023-10</v>
      </c>
    </row>
    <row r="385" spans="1:27" x14ac:dyDescent="0.35">
      <c r="A385" t="s">
        <v>483</v>
      </c>
      <c r="B385" s="1">
        <v>45158</v>
      </c>
      <c r="C385">
        <v>2023</v>
      </c>
      <c r="D385">
        <v>8</v>
      </c>
      <c r="E385" t="s">
        <v>66</v>
      </c>
      <c r="F385" t="s">
        <v>67</v>
      </c>
      <c r="G385" t="s">
        <v>42</v>
      </c>
      <c r="H385" t="s">
        <v>43</v>
      </c>
      <c r="I385" t="s">
        <v>54</v>
      </c>
      <c r="J385" t="s">
        <v>30</v>
      </c>
      <c r="K385" t="s">
        <v>31</v>
      </c>
      <c r="L385" t="s">
        <v>103</v>
      </c>
      <c r="M385" t="s">
        <v>56</v>
      </c>
      <c r="N385">
        <v>0</v>
      </c>
      <c r="O385" t="s">
        <v>34</v>
      </c>
      <c r="P385" t="s">
        <v>91</v>
      </c>
      <c r="Q385" t="s">
        <v>64</v>
      </c>
      <c r="R385" t="s">
        <v>37</v>
      </c>
      <c r="S385" t="s">
        <v>50</v>
      </c>
      <c r="T385">
        <v>8</v>
      </c>
      <c r="U385">
        <v>70122</v>
      </c>
      <c r="V385">
        <v>0</v>
      </c>
      <c r="W385">
        <v>0</v>
      </c>
      <c r="X385">
        <v>0</v>
      </c>
      <c r="Y385">
        <f>IF(tbl_Incidents[[#This Row],[Lost_Time_Days]]&gt;0, 1, 0)</f>
        <v>0</v>
      </c>
      <c r="Z385" s="1">
        <f>DATE(tbl_Incidents[[#This Row],[Year]], tbl_Incidents[[#This Row],[Month]], 1)</f>
        <v>45139</v>
      </c>
      <c r="AA385" t="str">
        <f t="shared" si="5"/>
        <v>Darwin Port Facility|2023-08</v>
      </c>
    </row>
    <row r="386" spans="1:27" x14ac:dyDescent="0.35">
      <c r="A386" t="s">
        <v>484</v>
      </c>
      <c r="B386" s="1">
        <v>44949</v>
      </c>
      <c r="C386">
        <v>2023</v>
      </c>
      <c r="D386">
        <v>1</v>
      </c>
      <c r="E386" t="s">
        <v>129</v>
      </c>
      <c r="F386" t="s">
        <v>53</v>
      </c>
      <c r="G386" t="s">
        <v>27</v>
      </c>
      <c r="H386" t="s">
        <v>68</v>
      </c>
      <c r="I386" t="s">
        <v>110</v>
      </c>
      <c r="J386" t="s">
        <v>61</v>
      </c>
      <c r="K386" t="s">
        <v>69</v>
      </c>
      <c r="L386" t="s">
        <v>103</v>
      </c>
      <c r="M386" t="s">
        <v>46</v>
      </c>
      <c r="N386">
        <v>5</v>
      </c>
      <c r="O386" t="s">
        <v>75</v>
      </c>
      <c r="P386" t="s">
        <v>47</v>
      </c>
      <c r="Q386" t="s">
        <v>48</v>
      </c>
      <c r="R386" t="s">
        <v>37</v>
      </c>
      <c r="S386" t="s">
        <v>38</v>
      </c>
      <c r="T386">
        <v>9</v>
      </c>
      <c r="U386">
        <v>102373</v>
      </c>
      <c r="V386">
        <v>1</v>
      </c>
      <c r="W386">
        <v>0</v>
      </c>
      <c r="X386">
        <v>1</v>
      </c>
      <c r="Y386">
        <f>IF(tbl_Incidents[[#This Row],[Lost_Time_Days]]&gt;0, 1, 0)</f>
        <v>1</v>
      </c>
      <c r="Z386" s="1">
        <f>DATE(tbl_Incidents[[#This Row],[Year]], tbl_Incidents[[#This Row],[Month]], 1)</f>
        <v>44927</v>
      </c>
      <c r="AA386" t="str">
        <f t="shared" ref="AA386:AA449" si="6">G386&amp;"|"&amp;TEXT(Z386,"yyyy-mm")</f>
        <v>Thunderbird Mine|2023-01</v>
      </c>
    </row>
    <row r="387" spans="1:27" x14ac:dyDescent="0.35">
      <c r="A387" t="s">
        <v>485</v>
      </c>
      <c r="B387" s="1">
        <v>45176</v>
      </c>
      <c r="C387">
        <v>2023</v>
      </c>
      <c r="D387">
        <v>9</v>
      </c>
      <c r="E387" t="s">
        <v>97</v>
      </c>
      <c r="F387" t="s">
        <v>67</v>
      </c>
      <c r="G387" t="s">
        <v>78</v>
      </c>
      <c r="H387" t="s">
        <v>43</v>
      </c>
      <c r="I387" t="s">
        <v>29</v>
      </c>
      <c r="J387" t="s">
        <v>30</v>
      </c>
      <c r="K387" t="s">
        <v>31</v>
      </c>
      <c r="L387" t="s">
        <v>74</v>
      </c>
      <c r="M387" t="s">
        <v>33</v>
      </c>
      <c r="N387">
        <v>0</v>
      </c>
      <c r="O387" t="s">
        <v>63</v>
      </c>
      <c r="P387" t="s">
        <v>35</v>
      </c>
      <c r="Q387" t="s">
        <v>76</v>
      </c>
      <c r="R387" t="s">
        <v>37</v>
      </c>
      <c r="S387" t="s">
        <v>38</v>
      </c>
      <c r="T387">
        <v>11</v>
      </c>
      <c r="U387">
        <v>108425</v>
      </c>
      <c r="V387">
        <v>0</v>
      </c>
      <c r="W387">
        <v>0</v>
      </c>
      <c r="X387">
        <v>0</v>
      </c>
      <c r="Y387">
        <f>IF(tbl_Incidents[[#This Row],[Lost_Time_Days]]&gt;0, 1, 0)</f>
        <v>0</v>
      </c>
      <c r="Z387" s="1">
        <f>DATE(tbl_Incidents[[#This Row],[Year]], tbl_Incidents[[#This Row],[Month]], 1)</f>
        <v>45170</v>
      </c>
      <c r="AA387" t="str">
        <f t="shared" si="6"/>
        <v>Broome Logistics Hub|2023-09</v>
      </c>
    </row>
    <row r="388" spans="1:27" x14ac:dyDescent="0.35">
      <c r="A388" t="s">
        <v>486</v>
      </c>
      <c r="B388" s="1">
        <v>45457</v>
      </c>
      <c r="C388">
        <v>2024</v>
      </c>
      <c r="D388">
        <v>6</v>
      </c>
      <c r="E388" t="s">
        <v>72</v>
      </c>
      <c r="F388" t="s">
        <v>41</v>
      </c>
      <c r="G388" t="s">
        <v>78</v>
      </c>
      <c r="H388" t="s">
        <v>86</v>
      </c>
      <c r="I388" t="s">
        <v>29</v>
      </c>
      <c r="J388" t="s">
        <v>30</v>
      </c>
      <c r="K388" t="s">
        <v>31</v>
      </c>
      <c r="L388" t="s">
        <v>100</v>
      </c>
      <c r="M388" t="s">
        <v>56</v>
      </c>
      <c r="N388">
        <v>0</v>
      </c>
      <c r="O388" t="s">
        <v>70</v>
      </c>
      <c r="P388" t="s">
        <v>47</v>
      </c>
      <c r="Q388" t="s">
        <v>81</v>
      </c>
      <c r="R388" t="s">
        <v>37</v>
      </c>
      <c r="S388" t="s">
        <v>50</v>
      </c>
      <c r="T388">
        <v>8</v>
      </c>
      <c r="U388">
        <v>95769</v>
      </c>
      <c r="V388">
        <v>0</v>
      </c>
      <c r="W388">
        <v>0</v>
      </c>
      <c r="X388">
        <v>0</v>
      </c>
      <c r="Y388">
        <f>IF(tbl_Incidents[[#This Row],[Lost_Time_Days]]&gt;0, 1, 0)</f>
        <v>0</v>
      </c>
      <c r="Z388" s="1">
        <f>DATE(tbl_Incidents[[#This Row],[Year]], tbl_Incidents[[#This Row],[Month]], 1)</f>
        <v>45444</v>
      </c>
      <c r="AA388" t="str">
        <f t="shared" si="6"/>
        <v>Broome Logistics Hub|2024-06</v>
      </c>
    </row>
    <row r="389" spans="1:27" x14ac:dyDescent="0.35">
      <c r="A389" t="s">
        <v>487</v>
      </c>
      <c r="B389" s="1">
        <v>45050</v>
      </c>
      <c r="C389">
        <v>2023</v>
      </c>
      <c r="D389">
        <v>5</v>
      </c>
      <c r="E389" t="s">
        <v>109</v>
      </c>
      <c r="F389" t="s">
        <v>41</v>
      </c>
      <c r="G389" t="s">
        <v>42</v>
      </c>
      <c r="H389" t="s">
        <v>68</v>
      </c>
      <c r="I389" t="s">
        <v>54</v>
      </c>
      <c r="J389" t="s">
        <v>30</v>
      </c>
      <c r="K389" t="s">
        <v>31</v>
      </c>
      <c r="L389" t="s">
        <v>32</v>
      </c>
      <c r="M389" t="s">
        <v>46</v>
      </c>
      <c r="N389">
        <v>0</v>
      </c>
      <c r="O389" t="s">
        <v>90</v>
      </c>
      <c r="P389" t="s">
        <v>47</v>
      </c>
      <c r="Q389" t="s">
        <v>81</v>
      </c>
      <c r="R389" t="s">
        <v>57</v>
      </c>
      <c r="S389" t="s">
        <v>38</v>
      </c>
      <c r="T389">
        <v>8</v>
      </c>
      <c r="U389">
        <v>115757</v>
      </c>
      <c r="V389">
        <v>0</v>
      </c>
      <c r="W389">
        <v>0</v>
      </c>
      <c r="X389">
        <v>0</v>
      </c>
      <c r="Y389">
        <f>IF(tbl_Incidents[[#This Row],[Lost_Time_Days]]&gt;0, 1, 0)</f>
        <v>0</v>
      </c>
      <c r="Z389" s="1">
        <f>DATE(tbl_Incidents[[#This Row],[Year]], tbl_Incidents[[#This Row],[Month]], 1)</f>
        <v>45047</v>
      </c>
      <c r="AA389" t="str">
        <f t="shared" si="6"/>
        <v>Darwin Port Facility|2023-05</v>
      </c>
    </row>
    <row r="390" spans="1:27" x14ac:dyDescent="0.35">
      <c r="A390" t="s">
        <v>488</v>
      </c>
      <c r="B390" s="1">
        <v>45097</v>
      </c>
      <c r="C390">
        <v>2023</v>
      </c>
      <c r="D390">
        <v>6</v>
      </c>
      <c r="E390" t="s">
        <v>72</v>
      </c>
      <c r="F390" t="s">
        <v>41</v>
      </c>
      <c r="G390" t="s">
        <v>78</v>
      </c>
      <c r="H390" t="s">
        <v>68</v>
      </c>
      <c r="I390" t="s">
        <v>29</v>
      </c>
      <c r="J390" t="s">
        <v>30</v>
      </c>
      <c r="K390" t="s">
        <v>31</v>
      </c>
      <c r="L390" t="s">
        <v>55</v>
      </c>
      <c r="M390" t="s">
        <v>46</v>
      </c>
      <c r="N390">
        <v>0</v>
      </c>
      <c r="O390" t="s">
        <v>34</v>
      </c>
      <c r="P390" t="s">
        <v>91</v>
      </c>
      <c r="Q390" t="s">
        <v>64</v>
      </c>
      <c r="R390" t="s">
        <v>57</v>
      </c>
      <c r="S390" t="s">
        <v>38</v>
      </c>
      <c r="T390">
        <v>9</v>
      </c>
      <c r="U390">
        <v>95846</v>
      </c>
      <c r="V390">
        <v>0</v>
      </c>
      <c r="W390">
        <v>0</v>
      </c>
      <c r="X390">
        <v>0</v>
      </c>
      <c r="Y390">
        <f>IF(tbl_Incidents[[#This Row],[Lost_Time_Days]]&gt;0, 1, 0)</f>
        <v>0</v>
      </c>
      <c r="Z390" s="1">
        <f>DATE(tbl_Incidents[[#This Row],[Year]], tbl_Incidents[[#This Row],[Month]], 1)</f>
        <v>45078</v>
      </c>
      <c r="AA390" t="str">
        <f t="shared" si="6"/>
        <v>Broome Logistics Hub|2023-06</v>
      </c>
    </row>
    <row r="391" spans="1:27" x14ac:dyDescent="0.35">
      <c r="A391" t="s">
        <v>489</v>
      </c>
      <c r="B391" s="1">
        <v>44821</v>
      </c>
      <c r="C391">
        <v>2022</v>
      </c>
      <c r="D391">
        <v>9</v>
      </c>
      <c r="E391" t="s">
        <v>97</v>
      </c>
      <c r="F391" t="s">
        <v>67</v>
      </c>
      <c r="G391" t="s">
        <v>78</v>
      </c>
      <c r="H391" t="s">
        <v>86</v>
      </c>
      <c r="I391" t="s">
        <v>60</v>
      </c>
      <c r="J391" t="s">
        <v>61</v>
      </c>
      <c r="K391" t="s">
        <v>31</v>
      </c>
      <c r="L391" t="s">
        <v>80</v>
      </c>
      <c r="M391" t="s">
        <v>46</v>
      </c>
      <c r="N391">
        <v>0</v>
      </c>
      <c r="O391" t="s">
        <v>34</v>
      </c>
      <c r="P391" t="s">
        <v>47</v>
      </c>
      <c r="Q391" t="s">
        <v>48</v>
      </c>
      <c r="R391" t="s">
        <v>49</v>
      </c>
      <c r="S391" t="s">
        <v>50</v>
      </c>
      <c r="T391">
        <v>12</v>
      </c>
      <c r="U391">
        <v>103238</v>
      </c>
      <c r="V391">
        <v>1</v>
      </c>
      <c r="W391">
        <v>0</v>
      </c>
      <c r="X391">
        <v>0</v>
      </c>
      <c r="Y391">
        <f>IF(tbl_Incidents[[#This Row],[Lost_Time_Days]]&gt;0, 1, 0)</f>
        <v>0</v>
      </c>
      <c r="Z391" s="1">
        <f>DATE(tbl_Incidents[[#This Row],[Year]], tbl_Incidents[[#This Row],[Month]], 1)</f>
        <v>44805</v>
      </c>
      <c r="AA391" t="str">
        <f t="shared" si="6"/>
        <v>Broome Logistics Hub|2022-09</v>
      </c>
    </row>
    <row r="392" spans="1:27" x14ac:dyDescent="0.35">
      <c r="A392" t="s">
        <v>490</v>
      </c>
      <c r="B392" s="1">
        <v>44745</v>
      </c>
      <c r="C392">
        <v>2022</v>
      </c>
      <c r="D392">
        <v>7</v>
      </c>
      <c r="E392" t="s">
        <v>85</v>
      </c>
      <c r="F392" t="s">
        <v>67</v>
      </c>
      <c r="G392" t="s">
        <v>78</v>
      </c>
      <c r="H392" t="s">
        <v>43</v>
      </c>
      <c r="I392" t="s">
        <v>60</v>
      </c>
      <c r="J392" t="s">
        <v>61</v>
      </c>
      <c r="K392" t="s">
        <v>31</v>
      </c>
      <c r="L392" t="s">
        <v>32</v>
      </c>
      <c r="M392" t="s">
        <v>56</v>
      </c>
      <c r="N392">
        <v>0</v>
      </c>
      <c r="O392" t="s">
        <v>90</v>
      </c>
      <c r="P392" t="s">
        <v>91</v>
      </c>
      <c r="Q392" t="s">
        <v>64</v>
      </c>
      <c r="R392" t="s">
        <v>57</v>
      </c>
      <c r="S392" t="s">
        <v>38</v>
      </c>
      <c r="T392">
        <v>9</v>
      </c>
      <c r="U392">
        <v>98536</v>
      </c>
      <c r="V392">
        <v>1</v>
      </c>
      <c r="W392">
        <v>0</v>
      </c>
      <c r="X392">
        <v>0</v>
      </c>
      <c r="Y392">
        <f>IF(tbl_Incidents[[#This Row],[Lost_Time_Days]]&gt;0, 1, 0)</f>
        <v>0</v>
      </c>
      <c r="Z392" s="1">
        <f>DATE(tbl_Incidents[[#This Row],[Year]], tbl_Incidents[[#This Row],[Month]], 1)</f>
        <v>44743</v>
      </c>
      <c r="AA392" t="str">
        <f t="shared" si="6"/>
        <v>Broome Logistics Hub|2022-07</v>
      </c>
    </row>
    <row r="393" spans="1:27" x14ac:dyDescent="0.35">
      <c r="A393" t="s">
        <v>491</v>
      </c>
      <c r="B393" s="1">
        <v>45363</v>
      </c>
      <c r="C393">
        <v>2024</v>
      </c>
      <c r="D393">
        <v>3</v>
      </c>
      <c r="E393" t="s">
        <v>125</v>
      </c>
      <c r="F393" t="s">
        <v>53</v>
      </c>
      <c r="G393" t="s">
        <v>42</v>
      </c>
      <c r="H393" t="s">
        <v>68</v>
      </c>
      <c r="I393" t="s">
        <v>79</v>
      </c>
      <c r="J393" t="s">
        <v>30</v>
      </c>
      <c r="K393" t="s">
        <v>31</v>
      </c>
      <c r="L393" t="s">
        <v>100</v>
      </c>
      <c r="M393" t="s">
        <v>46</v>
      </c>
      <c r="N393">
        <v>0</v>
      </c>
      <c r="O393" t="s">
        <v>63</v>
      </c>
      <c r="P393" t="s">
        <v>91</v>
      </c>
      <c r="Q393" t="s">
        <v>76</v>
      </c>
      <c r="R393" t="s">
        <v>37</v>
      </c>
      <c r="S393" t="s">
        <v>38</v>
      </c>
      <c r="T393">
        <v>9</v>
      </c>
      <c r="U393">
        <v>91000</v>
      </c>
      <c r="V393">
        <v>0</v>
      </c>
      <c r="W393">
        <v>0</v>
      </c>
      <c r="X393">
        <v>0</v>
      </c>
      <c r="Y393">
        <f>IF(tbl_Incidents[[#This Row],[Lost_Time_Days]]&gt;0, 1, 0)</f>
        <v>0</v>
      </c>
      <c r="Z393" s="1">
        <f>DATE(tbl_Incidents[[#This Row],[Year]], tbl_Incidents[[#This Row],[Month]], 1)</f>
        <v>45352</v>
      </c>
      <c r="AA393" t="str">
        <f t="shared" si="6"/>
        <v>Darwin Port Facility|2024-03</v>
      </c>
    </row>
    <row r="394" spans="1:27" x14ac:dyDescent="0.35">
      <c r="A394" t="s">
        <v>492</v>
      </c>
      <c r="B394" s="1">
        <v>45213</v>
      </c>
      <c r="C394">
        <v>2023</v>
      </c>
      <c r="D394">
        <v>10</v>
      </c>
      <c r="E394" t="s">
        <v>25</v>
      </c>
      <c r="F394" t="s">
        <v>26</v>
      </c>
      <c r="G394" t="s">
        <v>27</v>
      </c>
      <c r="H394" t="s">
        <v>73</v>
      </c>
      <c r="I394" t="s">
        <v>29</v>
      </c>
      <c r="J394" t="s">
        <v>30</v>
      </c>
      <c r="K394" t="s">
        <v>31</v>
      </c>
      <c r="L394" t="s">
        <v>83</v>
      </c>
      <c r="M394" t="s">
        <v>46</v>
      </c>
      <c r="N394">
        <v>0</v>
      </c>
      <c r="O394" t="s">
        <v>63</v>
      </c>
      <c r="P394" t="s">
        <v>35</v>
      </c>
      <c r="Q394" t="s">
        <v>36</v>
      </c>
      <c r="R394" t="s">
        <v>57</v>
      </c>
      <c r="S394" t="s">
        <v>38</v>
      </c>
      <c r="T394">
        <v>10</v>
      </c>
      <c r="U394">
        <v>50490</v>
      </c>
      <c r="V394">
        <v>0</v>
      </c>
      <c r="W394">
        <v>0</v>
      </c>
      <c r="X394">
        <v>0</v>
      </c>
      <c r="Y394">
        <f>IF(tbl_Incidents[[#This Row],[Lost_Time_Days]]&gt;0, 1, 0)</f>
        <v>0</v>
      </c>
      <c r="Z394" s="1">
        <f>DATE(tbl_Incidents[[#This Row],[Year]], tbl_Incidents[[#This Row],[Month]], 1)</f>
        <v>45200</v>
      </c>
      <c r="AA394" t="str">
        <f t="shared" si="6"/>
        <v>Thunderbird Mine|2023-10</v>
      </c>
    </row>
    <row r="395" spans="1:27" x14ac:dyDescent="0.35">
      <c r="A395" t="s">
        <v>493</v>
      </c>
      <c r="B395" s="1">
        <v>45303</v>
      </c>
      <c r="C395">
        <v>2024</v>
      </c>
      <c r="D395">
        <v>1</v>
      </c>
      <c r="E395" t="s">
        <v>129</v>
      </c>
      <c r="F395" t="s">
        <v>53</v>
      </c>
      <c r="G395" t="s">
        <v>105</v>
      </c>
      <c r="H395" t="s">
        <v>43</v>
      </c>
      <c r="I395" t="s">
        <v>110</v>
      </c>
      <c r="J395" t="s">
        <v>61</v>
      </c>
      <c r="K395" t="s">
        <v>31</v>
      </c>
      <c r="L395" t="s">
        <v>32</v>
      </c>
      <c r="M395" t="s">
        <v>46</v>
      </c>
      <c r="N395">
        <v>30</v>
      </c>
      <c r="O395" t="s">
        <v>90</v>
      </c>
      <c r="P395" t="s">
        <v>35</v>
      </c>
      <c r="Q395" t="s">
        <v>48</v>
      </c>
      <c r="R395" t="s">
        <v>49</v>
      </c>
      <c r="S395" t="s">
        <v>88</v>
      </c>
      <c r="T395">
        <v>8</v>
      </c>
      <c r="U395">
        <v>66438</v>
      </c>
      <c r="V395">
        <v>1</v>
      </c>
      <c r="W395">
        <v>0</v>
      </c>
      <c r="X395">
        <v>1</v>
      </c>
      <c r="Y395">
        <f>IF(tbl_Incidents[[#This Row],[Lost_Time_Days]]&gt;0, 1, 0)</f>
        <v>1</v>
      </c>
      <c r="Z395" s="1">
        <f>DATE(tbl_Incidents[[#This Row],[Year]], tbl_Incidents[[#This Row],[Month]], 1)</f>
        <v>45292</v>
      </c>
      <c r="AA395" t="str">
        <f t="shared" si="6"/>
        <v>Katherine Processing Site|2024-01</v>
      </c>
    </row>
    <row r="396" spans="1:27" x14ac:dyDescent="0.35">
      <c r="A396" t="s">
        <v>494</v>
      </c>
      <c r="B396" s="1">
        <v>45385</v>
      </c>
      <c r="C396">
        <v>2024</v>
      </c>
      <c r="D396">
        <v>4</v>
      </c>
      <c r="E396" t="s">
        <v>40</v>
      </c>
      <c r="F396" t="s">
        <v>41</v>
      </c>
      <c r="G396" t="s">
        <v>59</v>
      </c>
      <c r="H396" t="s">
        <v>73</v>
      </c>
      <c r="I396" t="s">
        <v>98</v>
      </c>
      <c r="J396" t="s">
        <v>30</v>
      </c>
      <c r="K396" t="s">
        <v>31</v>
      </c>
      <c r="L396" t="s">
        <v>45</v>
      </c>
      <c r="M396" t="s">
        <v>46</v>
      </c>
      <c r="N396">
        <v>0</v>
      </c>
      <c r="O396" t="s">
        <v>90</v>
      </c>
      <c r="P396" t="s">
        <v>35</v>
      </c>
      <c r="Q396" t="s">
        <v>76</v>
      </c>
      <c r="R396" t="s">
        <v>57</v>
      </c>
      <c r="S396" t="s">
        <v>38</v>
      </c>
      <c r="T396">
        <v>10</v>
      </c>
      <c r="U396">
        <v>71359</v>
      </c>
      <c r="V396">
        <v>0</v>
      </c>
      <c r="W396">
        <v>0</v>
      </c>
      <c r="X396">
        <v>0</v>
      </c>
      <c r="Y396">
        <f>IF(tbl_Incidents[[#This Row],[Lost_Time_Days]]&gt;0, 1, 0)</f>
        <v>0</v>
      </c>
      <c r="Z396" s="1">
        <f>DATE(tbl_Incidents[[#This Row],[Year]], tbl_Incidents[[#This Row],[Month]], 1)</f>
        <v>45383</v>
      </c>
      <c r="AA396" t="str">
        <f t="shared" si="6"/>
        <v>Pilbara Crusher Plant|2024-04</v>
      </c>
    </row>
    <row r="397" spans="1:27" x14ac:dyDescent="0.35">
      <c r="A397" t="s">
        <v>495</v>
      </c>
      <c r="B397" s="1">
        <v>45232</v>
      </c>
      <c r="C397">
        <v>2023</v>
      </c>
      <c r="D397">
        <v>11</v>
      </c>
      <c r="E397" t="s">
        <v>107</v>
      </c>
      <c r="F397" t="s">
        <v>26</v>
      </c>
      <c r="G397" t="s">
        <v>42</v>
      </c>
      <c r="H397" t="s">
        <v>68</v>
      </c>
      <c r="I397" t="s">
        <v>29</v>
      </c>
      <c r="J397" t="s">
        <v>30</v>
      </c>
      <c r="K397" t="s">
        <v>31</v>
      </c>
      <c r="L397" t="s">
        <v>32</v>
      </c>
      <c r="M397" t="s">
        <v>56</v>
      </c>
      <c r="N397">
        <v>0</v>
      </c>
      <c r="O397" t="s">
        <v>34</v>
      </c>
      <c r="P397" t="s">
        <v>47</v>
      </c>
      <c r="Q397" t="s">
        <v>64</v>
      </c>
      <c r="R397" t="s">
        <v>37</v>
      </c>
      <c r="S397" t="s">
        <v>38</v>
      </c>
      <c r="T397">
        <v>12</v>
      </c>
      <c r="U397">
        <v>42014</v>
      </c>
      <c r="V397">
        <v>0</v>
      </c>
      <c r="W397">
        <v>0</v>
      </c>
      <c r="X397">
        <v>1</v>
      </c>
      <c r="Y397">
        <f>IF(tbl_Incidents[[#This Row],[Lost_Time_Days]]&gt;0, 1, 0)</f>
        <v>0</v>
      </c>
      <c r="Z397" s="1">
        <f>DATE(tbl_Incidents[[#This Row],[Year]], tbl_Incidents[[#This Row],[Month]], 1)</f>
        <v>45231</v>
      </c>
      <c r="AA397" t="str">
        <f t="shared" si="6"/>
        <v>Darwin Port Facility|2023-11</v>
      </c>
    </row>
    <row r="398" spans="1:27" x14ac:dyDescent="0.35">
      <c r="A398" t="s">
        <v>496</v>
      </c>
      <c r="B398" s="1">
        <v>44632</v>
      </c>
      <c r="C398">
        <v>2022</v>
      </c>
      <c r="D398">
        <v>3</v>
      </c>
      <c r="E398" t="s">
        <v>125</v>
      </c>
      <c r="F398" t="s">
        <v>53</v>
      </c>
      <c r="G398" t="s">
        <v>78</v>
      </c>
      <c r="H398" t="s">
        <v>120</v>
      </c>
      <c r="I398" t="s">
        <v>29</v>
      </c>
      <c r="J398" t="s">
        <v>30</v>
      </c>
      <c r="K398" t="s">
        <v>31</v>
      </c>
      <c r="L398" t="s">
        <v>103</v>
      </c>
      <c r="M398" t="s">
        <v>46</v>
      </c>
      <c r="N398">
        <v>0</v>
      </c>
      <c r="O398" t="s">
        <v>34</v>
      </c>
      <c r="P398" t="s">
        <v>91</v>
      </c>
      <c r="Q398" t="s">
        <v>81</v>
      </c>
      <c r="R398" t="s">
        <v>57</v>
      </c>
      <c r="S398" t="s">
        <v>50</v>
      </c>
      <c r="T398">
        <v>9</v>
      </c>
      <c r="U398">
        <v>99606</v>
      </c>
      <c r="V398">
        <v>0</v>
      </c>
      <c r="W398">
        <v>0</v>
      </c>
      <c r="X398">
        <v>1</v>
      </c>
      <c r="Y398">
        <f>IF(tbl_Incidents[[#This Row],[Lost_Time_Days]]&gt;0, 1, 0)</f>
        <v>0</v>
      </c>
      <c r="Z398" s="1">
        <f>DATE(tbl_Incidents[[#This Row],[Year]], tbl_Incidents[[#This Row],[Month]], 1)</f>
        <v>44621</v>
      </c>
      <c r="AA398" t="str">
        <f t="shared" si="6"/>
        <v>Broome Logistics Hub|2022-03</v>
      </c>
    </row>
    <row r="399" spans="1:27" x14ac:dyDescent="0.35">
      <c r="A399" t="s">
        <v>497</v>
      </c>
      <c r="B399" s="1">
        <v>45150</v>
      </c>
      <c r="C399">
        <v>2023</v>
      </c>
      <c r="D399">
        <v>8</v>
      </c>
      <c r="E399" t="s">
        <v>66</v>
      </c>
      <c r="F399" t="s">
        <v>67</v>
      </c>
      <c r="G399" t="s">
        <v>59</v>
      </c>
      <c r="H399" t="s">
        <v>73</v>
      </c>
      <c r="I399" t="s">
        <v>29</v>
      </c>
      <c r="J399" t="s">
        <v>30</v>
      </c>
      <c r="K399" t="s">
        <v>31</v>
      </c>
      <c r="L399" t="s">
        <v>55</v>
      </c>
      <c r="M399" t="s">
        <v>46</v>
      </c>
      <c r="N399">
        <v>0</v>
      </c>
      <c r="O399" t="s">
        <v>34</v>
      </c>
      <c r="P399" t="s">
        <v>35</v>
      </c>
      <c r="Q399" t="s">
        <v>76</v>
      </c>
      <c r="R399" t="s">
        <v>57</v>
      </c>
      <c r="S399" t="s">
        <v>38</v>
      </c>
      <c r="T399">
        <v>8</v>
      </c>
      <c r="U399">
        <v>107277</v>
      </c>
      <c r="V399">
        <v>0</v>
      </c>
      <c r="W399">
        <v>0</v>
      </c>
      <c r="X399">
        <v>1</v>
      </c>
      <c r="Y399">
        <f>IF(tbl_Incidents[[#This Row],[Lost_Time_Days]]&gt;0, 1, 0)</f>
        <v>0</v>
      </c>
      <c r="Z399" s="1">
        <f>DATE(tbl_Incidents[[#This Row],[Year]], tbl_Incidents[[#This Row],[Month]], 1)</f>
        <v>45139</v>
      </c>
      <c r="AA399" t="str">
        <f t="shared" si="6"/>
        <v>Pilbara Crusher Plant|2023-08</v>
      </c>
    </row>
    <row r="400" spans="1:27" x14ac:dyDescent="0.35">
      <c r="A400" t="s">
        <v>498</v>
      </c>
      <c r="B400" s="1">
        <v>45459</v>
      </c>
      <c r="C400">
        <v>2024</v>
      </c>
      <c r="D400">
        <v>6</v>
      </c>
      <c r="E400" t="s">
        <v>72</v>
      </c>
      <c r="F400" t="s">
        <v>41</v>
      </c>
      <c r="G400" t="s">
        <v>78</v>
      </c>
      <c r="H400" t="s">
        <v>120</v>
      </c>
      <c r="I400" t="s">
        <v>98</v>
      </c>
      <c r="J400" t="s">
        <v>30</v>
      </c>
      <c r="K400" t="s">
        <v>31</v>
      </c>
      <c r="L400" t="s">
        <v>83</v>
      </c>
      <c r="M400" t="s">
        <v>56</v>
      </c>
      <c r="N400">
        <v>0</v>
      </c>
      <c r="O400" t="s">
        <v>90</v>
      </c>
      <c r="P400" t="s">
        <v>47</v>
      </c>
      <c r="Q400" t="s">
        <v>48</v>
      </c>
      <c r="R400" t="s">
        <v>57</v>
      </c>
      <c r="S400" t="s">
        <v>88</v>
      </c>
      <c r="T400">
        <v>11</v>
      </c>
      <c r="U400">
        <v>116916</v>
      </c>
      <c r="V400">
        <v>0</v>
      </c>
      <c r="W400">
        <v>0</v>
      </c>
      <c r="X400">
        <v>0</v>
      </c>
      <c r="Y400">
        <f>IF(tbl_Incidents[[#This Row],[Lost_Time_Days]]&gt;0, 1, 0)</f>
        <v>0</v>
      </c>
      <c r="Z400" s="1">
        <f>DATE(tbl_Incidents[[#This Row],[Year]], tbl_Incidents[[#This Row],[Month]], 1)</f>
        <v>45444</v>
      </c>
      <c r="AA400" t="str">
        <f t="shared" si="6"/>
        <v>Broome Logistics Hub|2024-06</v>
      </c>
    </row>
    <row r="401" spans="1:27" x14ac:dyDescent="0.35">
      <c r="A401" t="s">
        <v>499</v>
      </c>
      <c r="B401" s="1">
        <v>45444</v>
      </c>
      <c r="C401">
        <v>2024</v>
      </c>
      <c r="D401">
        <v>6</v>
      </c>
      <c r="E401" t="s">
        <v>72</v>
      </c>
      <c r="F401" t="s">
        <v>41</v>
      </c>
      <c r="G401" t="s">
        <v>105</v>
      </c>
      <c r="H401" t="s">
        <v>68</v>
      </c>
      <c r="I401" t="s">
        <v>29</v>
      </c>
      <c r="J401" t="s">
        <v>30</v>
      </c>
      <c r="K401" t="s">
        <v>31</v>
      </c>
      <c r="L401" t="s">
        <v>32</v>
      </c>
      <c r="M401" t="s">
        <v>33</v>
      </c>
      <c r="N401">
        <v>0</v>
      </c>
      <c r="O401" t="s">
        <v>63</v>
      </c>
      <c r="P401" t="s">
        <v>35</v>
      </c>
      <c r="Q401" t="s">
        <v>48</v>
      </c>
      <c r="R401" t="s">
        <v>57</v>
      </c>
      <c r="S401" t="s">
        <v>88</v>
      </c>
      <c r="T401">
        <v>10</v>
      </c>
      <c r="U401">
        <v>107699</v>
      </c>
      <c r="V401">
        <v>0</v>
      </c>
      <c r="W401">
        <v>0</v>
      </c>
      <c r="X401">
        <v>0</v>
      </c>
      <c r="Y401">
        <f>IF(tbl_Incidents[[#This Row],[Lost_Time_Days]]&gt;0, 1, 0)</f>
        <v>0</v>
      </c>
      <c r="Z401" s="1">
        <f>DATE(tbl_Incidents[[#This Row],[Year]], tbl_Incidents[[#This Row],[Month]], 1)</f>
        <v>45444</v>
      </c>
      <c r="AA401" t="str">
        <f t="shared" si="6"/>
        <v>Katherine Processing Site|2024-06</v>
      </c>
    </row>
    <row r="402" spans="1:27" x14ac:dyDescent="0.35">
      <c r="A402" t="s">
        <v>500</v>
      </c>
      <c r="B402" s="1">
        <v>45279</v>
      </c>
      <c r="C402">
        <v>2023</v>
      </c>
      <c r="D402">
        <v>12</v>
      </c>
      <c r="E402" t="s">
        <v>123</v>
      </c>
      <c r="F402" t="s">
        <v>26</v>
      </c>
      <c r="G402" t="s">
        <v>59</v>
      </c>
      <c r="H402" t="s">
        <v>73</v>
      </c>
      <c r="I402" t="s">
        <v>54</v>
      </c>
      <c r="J402" t="s">
        <v>30</v>
      </c>
      <c r="K402" t="s">
        <v>31</v>
      </c>
      <c r="L402" t="s">
        <v>32</v>
      </c>
      <c r="M402" t="s">
        <v>33</v>
      </c>
      <c r="N402">
        <v>0</v>
      </c>
      <c r="O402" t="s">
        <v>63</v>
      </c>
      <c r="P402" t="s">
        <v>91</v>
      </c>
      <c r="Q402" t="s">
        <v>36</v>
      </c>
      <c r="R402" t="s">
        <v>37</v>
      </c>
      <c r="S402" t="s">
        <v>38</v>
      </c>
      <c r="T402">
        <v>11</v>
      </c>
      <c r="U402">
        <v>81139</v>
      </c>
      <c r="V402">
        <v>0</v>
      </c>
      <c r="W402">
        <v>0</v>
      </c>
      <c r="X402">
        <v>0</v>
      </c>
      <c r="Y402">
        <f>IF(tbl_Incidents[[#This Row],[Lost_Time_Days]]&gt;0, 1, 0)</f>
        <v>0</v>
      </c>
      <c r="Z402" s="1">
        <f>DATE(tbl_Incidents[[#This Row],[Year]], tbl_Incidents[[#This Row],[Month]], 1)</f>
        <v>45261</v>
      </c>
      <c r="AA402" t="str">
        <f t="shared" si="6"/>
        <v>Pilbara Crusher Plant|2023-12</v>
      </c>
    </row>
    <row r="403" spans="1:27" x14ac:dyDescent="0.35">
      <c r="A403" t="s">
        <v>501</v>
      </c>
      <c r="B403" s="1">
        <v>44924</v>
      </c>
      <c r="C403">
        <v>2022</v>
      </c>
      <c r="D403">
        <v>12</v>
      </c>
      <c r="E403" t="s">
        <v>123</v>
      </c>
      <c r="F403" t="s">
        <v>26</v>
      </c>
      <c r="G403" t="s">
        <v>78</v>
      </c>
      <c r="H403" t="s">
        <v>120</v>
      </c>
      <c r="I403" t="s">
        <v>44</v>
      </c>
      <c r="J403" t="s">
        <v>30</v>
      </c>
      <c r="K403" t="s">
        <v>112</v>
      </c>
      <c r="L403" t="s">
        <v>100</v>
      </c>
      <c r="M403" t="s">
        <v>56</v>
      </c>
      <c r="N403">
        <v>0</v>
      </c>
      <c r="O403" t="s">
        <v>75</v>
      </c>
      <c r="P403" t="s">
        <v>35</v>
      </c>
      <c r="Q403" t="s">
        <v>48</v>
      </c>
      <c r="R403" t="s">
        <v>57</v>
      </c>
      <c r="S403" t="s">
        <v>38</v>
      </c>
      <c r="T403">
        <v>9</v>
      </c>
      <c r="U403">
        <v>70042</v>
      </c>
      <c r="V403">
        <v>0</v>
      </c>
      <c r="W403">
        <v>0</v>
      </c>
      <c r="X403">
        <v>0</v>
      </c>
      <c r="Y403">
        <f>IF(tbl_Incidents[[#This Row],[Lost_Time_Days]]&gt;0, 1, 0)</f>
        <v>0</v>
      </c>
      <c r="Z403" s="1">
        <f>DATE(tbl_Incidents[[#This Row],[Year]], tbl_Incidents[[#This Row],[Month]], 1)</f>
        <v>44896</v>
      </c>
      <c r="AA403" t="str">
        <f t="shared" si="6"/>
        <v>Broome Logistics Hub|2022-12</v>
      </c>
    </row>
    <row r="404" spans="1:27" x14ac:dyDescent="0.35">
      <c r="A404" t="s">
        <v>502</v>
      </c>
      <c r="B404" s="1">
        <v>44769</v>
      </c>
      <c r="C404">
        <v>2022</v>
      </c>
      <c r="D404">
        <v>7</v>
      </c>
      <c r="E404" t="s">
        <v>85</v>
      </c>
      <c r="F404" t="s">
        <v>67</v>
      </c>
      <c r="G404" t="s">
        <v>42</v>
      </c>
      <c r="H404" t="s">
        <v>43</v>
      </c>
      <c r="I404" t="s">
        <v>54</v>
      </c>
      <c r="J404" t="s">
        <v>30</v>
      </c>
      <c r="K404" t="s">
        <v>31</v>
      </c>
      <c r="L404" t="s">
        <v>80</v>
      </c>
      <c r="M404" t="s">
        <v>33</v>
      </c>
      <c r="N404">
        <v>0</v>
      </c>
      <c r="O404" t="s">
        <v>70</v>
      </c>
      <c r="P404" t="s">
        <v>35</v>
      </c>
      <c r="Q404" t="s">
        <v>36</v>
      </c>
      <c r="R404" t="s">
        <v>57</v>
      </c>
      <c r="S404" t="s">
        <v>88</v>
      </c>
      <c r="T404">
        <v>12</v>
      </c>
      <c r="U404">
        <v>40868</v>
      </c>
      <c r="V404">
        <v>0</v>
      </c>
      <c r="W404">
        <v>0</v>
      </c>
      <c r="X404">
        <v>0</v>
      </c>
      <c r="Y404">
        <f>IF(tbl_Incidents[[#This Row],[Lost_Time_Days]]&gt;0, 1, 0)</f>
        <v>0</v>
      </c>
      <c r="Z404" s="1">
        <f>DATE(tbl_Incidents[[#This Row],[Year]], tbl_Incidents[[#This Row],[Month]], 1)</f>
        <v>44743</v>
      </c>
      <c r="AA404" t="str">
        <f t="shared" si="6"/>
        <v>Darwin Port Facility|2022-07</v>
      </c>
    </row>
    <row r="405" spans="1:27" x14ac:dyDescent="0.35">
      <c r="A405" t="s">
        <v>503</v>
      </c>
      <c r="B405" s="1">
        <v>45344</v>
      </c>
      <c r="C405">
        <v>2024</v>
      </c>
      <c r="D405">
        <v>2</v>
      </c>
      <c r="E405" t="s">
        <v>52</v>
      </c>
      <c r="F405" t="s">
        <v>53</v>
      </c>
      <c r="G405" t="s">
        <v>78</v>
      </c>
      <c r="H405" t="s">
        <v>68</v>
      </c>
      <c r="I405" t="s">
        <v>54</v>
      </c>
      <c r="J405" t="s">
        <v>30</v>
      </c>
      <c r="K405" t="s">
        <v>31</v>
      </c>
      <c r="L405" t="s">
        <v>83</v>
      </c>
      <c r="M405" t="s">
        <v>56</v>
      </c>
      <c r="N405">
        <v>0</v>
      </c>
      <c r="O405" t="s">
        <v>90</v>
      </c>
      <c r="P405" t="s">
        <v>91</v>
      </c>
      <c r="Q405" t="s">
        <v>64</v>
      </c>
      <c r="R405" t="s">
        <v>37</v>
      </c>
      <c r="S405" t="s">
        <v>38</v>
      </c>
      <c r="T405">
        <v>11</v>
      </c>
      <c r="U405">
        <v>63969</v>
      </c>
      <c r="V405">
        <v>0</v>
      </c>
      <c r="W405">
        <v>0</v>
      </c>
      <c r="X405">
        <v>0</v>
      </c>
      <c r="Y405">
        <f>IF(tbl_Incidents[[#This Row],[Lost_Time_Days]]&gt;0, 1, 0)</f>
        <v>0</v>
      </c>
      <c r="Z405" s="1">
        <f>DATE(tbl_Incidents[[#This Row],[Year]], tbl_Incidents[[#This Row],[Month]], 1)</f>
        <v>45323</v>
      </c>
      <c r="AA405" t="str">
        <f t="shared" si="6"/>
        <v>Broome Logistics Hub|2024-02</v>
      </c>
    </row>
    <row r="406" spans="1:27" x14ac:dyDescent="0.35">
      <c r="A406" t="s">
        <v>504</v>
      </c>
      <c r="B406" s="1">
        <v>45344</v>
      </c>
      <c r="C406">
        <v>2024</v>
      </c>
      <c r="D406">
        <v>2</v>
      </c>
      <c r="E406" t="s">
        <v>52</v>
      </c>
      <c r="F406" t="s">
        <v>53</v>
      </c>
      <c r="G406" t="s">
        <v>59</v>
      </c>
      <c r="H406" t="s">
        <v>86</v>
      </c>
      <c r="I406" t="s">
        <v>98</v>
      </c>
      <c r="J406" t="s">
        <v>30</v>
      </c>
      <c r="K406" t="s">
        <v>31</v>
      </c>
      <c r="L406" t="s">
        <v>100</v>
      </c>
      <c r="M406" t="s">
        <v>46</v>
      </c>
      <c r="N406">
        <v>0</v>
      </c>
      <c r="O406" t="s">
        <v>34</v>
      </c>
      <c r="P406" t="s">
        <v>35</v>
      </c>
      <c r="Q406" t="s">
        <v>76</v>
      </c>
      <c r="R406" t="s">
        <v>49</v>
      </c>
      <c r="S406" t="s">
        <v>88</v>
      </c>
      <c r="T406">
        <v>12</v>
      </c>
      <c r="U406">
        <v>44268</v>
      </c>
      <c r="V406">
        <v>0</v>
      </c>
      <c r="W406">
        <v>0</v>
      </c>
      <c r="X406">
        <v>0</v>
      </c>
      <c r="Y406">
        <f>IF(tbl_Incidents[[#This Row],[Lost_Time_Days]]&gt;0, 1, 0)</f>
        <v>0</v>
      </c>
      <c r="Z406" s="1">
        <f>DATE(tbl_Incidents[[#This Row],[Year]], tbl_Incidents[[#This Row],[Month]], 1)</f>
        <v>45323</v>
      </c>
      <c r="AA406" t="str">
        <f t="shared" si="6"/>
        <v>Pilbara Crusher Plant|2024-02</v>
      </c>
    </row>
    <row r="407" spans="1:27" x14ac:dyDescent="0.35">
      <c r="A407" t="s">
        <v>505</v>
      </c>
      <c r="B407" s="1">
        <v>45076</v>
      </c>
      <c r="C407">
        <v>2023</v>
      </c>
      <c r="D407">
        <v>5</v>
      </c>
      <c r="E407" t="s">
        <v>109</v>
      </c>
      <c r="F407" t="s">
        <v>41</v>
      </c>
      <c r="G407" t="s">
        <v>105</v>
      </c>
      <c r="H407" t="s">
        <v>28</v>
      </c>
      <c r="I407" t="s">
        <v>60</v>
      </c>
      <c r="J407" t="s">
        <v>61</v>
      </c>
      <c r="K407" t="s">
        <v>112</v>
      </c>
      <c r="L407" t="s">
        <v>83</v>
      </c>
      <c r="M407" t="s">
        <v>33</v>
      </c>
      <c r="N407">
        <v>0</v>
      </c>
      <c r="O407" t="s">
        <v>75</v>
      </c>
      <c r="P407" t="s">
        <v>47</v>
      </c>
      <c r="Q407" t="s">
        <v>81</v>
      </c>
      <c r="R407" t="s">
        <v>57</v>
      </c>
      <c r="S407" t="s">
        <v>38</v>
      </c>
      <c r="T407">
        <v>9</v>
      </c>
      <c r="U407">
        <v>89732</v>
      </c>
      <c r="V407">
        <v>1</v>
      </c>
      <c r="W407">
        <v>0</v>
      </c>
      <c r="X407">
        <v>0</v>
      </c>
      <c r="Y407">
        <f>IF(tbl_Incidents[[#This Row],[Lost_Time_Days]]&gt;0, 1, 0)</f>
        <v>0</v>
      </c>
      <c r="Z407" s="1">
        <f>DATE(tbl_Incidents[[#This Row],[Year]], tbl_Incidents[[#This Row],[Month]], 1)</f>
        <v>45047</v>
      </c>
      <c r="AA407" t="str">
        <f t="shared" si="6"/>
        <v>Katherine Processing Site|2023-05</v>
      </c>
    </row>
    <row r="408" spans="1:27" x14ac:dyDescent="0.35">
      <c r="A408" t="s">
        <v>506</v>
      </c>
      <c r="B408" s="1">
        <v>45156</v>
      </c>
      <c r="C408">
        <v>2023</v>
      </c>
      <c r="D408">
        <v>8</v>
      </c>
      <c r="E408" t="s">
        <v>66</v>
      </c>
      <c r="F408" t="s">
        <v>67</v>
      </c>
      <c r="G408" t="s">
        <v>59</v>
      </c>
      <c r="H408" t="s">
        <v>120</v>
      </c>
      <c r="I408" t="s">
        <v>29</v>
      </c>
      <c r="J408" t="s">
        <v>30</v>
      </c>
      <c r="K408" t="s">
        <v>31</v>
      </c>
      <c r="L408" t="s">
        <v>95</v>
      </c>
      <c r="M408" t="s">
        <v>56</v>
      </c>
      <c r="N408">
        <v>0</v>
      </c>
      <c r="O408" t="s">
        <v>34</v>
      </c>
      <c r="P408" t="s">
        <v>91</v>
      </c>
      <c r="Q408" t="s">
        <v>48</v>
      </c>
      <c r="R408" t="s">
        <v>57</v>
      </c>
      <c r="S408" t="s">
        <v>88</v>
      </c>
      <c r="T408">
        <v>12</v>
      </c>
      <c r="U408">
        <v>84970</v>
      </c>
      <c r="V408">
        <v>0</v>
      </c>
      <c r="W408">
        <v>0</v>
      </c>
      <c r="X408">
        <v>0</v>
      </c>
      <c r="Y408">
        <f>IF(tbl_Incidents[[#This Row],[Lost_Time_Days]]&gt;0, 1, 0)</f>
        <v>0</v>
      </c>
      <c r="Z408" s="1">
        <f>DATE(tbl_Incidents[[#This Row],[Year]], tbl_Incidents[[#This Row],[Month]], 1)</f>
        <v>45139</v>
      </c>
      <c r="AA408" t="str">
        <f t="shared" si="6"/>
        <v>Pilbara Crusher Plant|2023-08</v>
      </c>
    </row>
    <row r="409" spans="1:27" x14ac:dyDescent="0.35">
      <c r="A409" t="s">
        <v>507</v>
      </c>
      <c r="B409" s="1">
        <v>45072</v>
      </c>
      <c r="C409">
        <v>2023</v>
      </c>
      <c r="D409">
        <v>5</v>
      </c>
      <c r="E409" t="s">
        <v>109</v>
      </c>
      <c r="F409" t="s">
        <v>41</v>
      </c>
      <c r="G409" t="s">
        <v>105</v>
      </c>
      <c r="H409" t="s">
        <v>28</v>
      </c>
      <c r="I409" t="s">
        <v>110</v>
      </c>
      <c r="J409" t="s">
        <v>61</v>
      </c>
      <c r="K409" t="s">
        <v>117</v>
      </c>
      <c r="L409" t="s">
        <v>80</v>
      </c>
      <c r="M409" t="s">
        <v>56</v>
      </c>
      <c r="N409">
        <v>7</v>
      </c>
      <c r="O409" t="s">
        <v>34</v>
      </c>
      <c r="P409" t="s">
        <v>47</v>
      </c>
      <c r="Q409" t="s">
        <v>48</v>
      </c>
      <c r="R409" t="s">
        <v>37</v>
      </c>
      <c r="S409" t="s">
        <v>38</v>
      </c>
      <c r="T409">
        <v>12</v>
      </c>
      <c r="U409">
        <v>69958</v>
      </c>
      <c r="V409">
        <v>1</v>
      </c>
      <c r="W409">
        <v>0</v>
      </c>
      <c r="X409">
        <v>1</v>
      </c>
      <c r="Y409">
        <f>IF(tbl_Incidents[[#This Row],[Lost_Time_Days]]&gt;0, 1, 0)</f>
        <v>1</v>
      </c>
      <c r="Z409" s="1">
        <f>DATE(tbl_Incidents[[#This Row],[Year]], tbl_Incidents[[#This Row],[Month]], 1)</f>
        <v>45047</v>
      </c>
      <c r="AA409" t="str">
        <f t="shared" si="6"/>
        <v>Katherine Processing Site|2023-05</v>
      </c>
    </row>
    <row r="410" spans="1:27" x14ac:dyDescent="0.35">
      <c r="A410" t="s">
        <v>508</v>
      </c>
      <c r="B410" s="1">
        <v>45300</v>
      </c>
      <c r="C410">
        <v>2024</v>
      </c>
      <c r="D410">
        <v>1</v>
      </c>
      <c r="E410" t="s">
        <v>129</v>
      </c>
      <c r="F410" t="s">
        <v>53</v>
      </c>
      <c r="G410" t="s">
        <v>42</v>
      </c>
      <c r="H410" t="s">
        <v>43</v>
      </c>
      <c r="I410" t="s">
        <v>60</v>
      </c>
      <c r="J410" t="s">
        <v>61</v>
      </c>
      <c r="K410" t="s">
        <v>139</v>
      </c>
      <c r="L410" t="s">
        <v>55</v>
      </c>
      <c r="M410" t="s">
        <v>33</v>
      </c>
      <c r="N410">
        <v>0</v>
      </c>
      <c r="O410" t="s">
        <v>34</v>
      </c>
      <c r="P410" t="s">
        <v>35</v>
      </c>
      <c r="Q410" t="s">
        <v>64</v>
      </c>
      <c r="R410" t="s">
        <v>57</v>
      </c>
      <c r="S410" t="s">
        <v>38</v>
      </c>
      <c r="T410">
        <v>11</v>
      </c>
      <c r="U410">
        <v>105483</v>
      </c>
      <c r="V410">
        <v>1</v>
      </c>
      <c r="W410">
        <v>0</v>
      </c>
      <c r="X410">
        <v>0</v>
      </c>
      <c r="Y410">
        <f>IF(tbl_Incidents[[#This Row],[Lost_Time_Days]]&gt;0, 1, 0)</f>
        <v>0</v>
      </c>
      <c r="Z410" s="1">
        <f>DATE(tbl_Incidents[[#This Row],[Year]], tbl_Incidents[[#This Row],[Month]], 1)</f>
        <v>45292</v>
      </c>
      <c r="AA410" t="str">
        <f t="shared" si="6"/>
        <v>Darwin Port Facility|2024-01</v>
      </c>
    </row>
    <row r="411" spans="1:27" x14ac:dyDescent="0.35">
      <c r="A411" t="s">
        <v>509</v>
      </c>
      <c r="B411" s="1">
        <v>44699</v>
      </c>
      <c r="C411">
        <v>2022</v>
      </c>
      <c r="D411">
        <v>5</v>
      </c>
      <c r="E411" t="s">
        <v>109</v>
      </c>
      <c r="F411" t="s">
        <v>41</v>
      </c>
      <c r="G411" t="s">
        <v>78</v>
      </c>
      <c r="H411" t="s">
        <v>43</v>
      </c>
      <c r="I411" t="s">
        <v>54</v>
      </c>
      <c r="J411" t="s">
        <v>30</v>
      </c>
      <c r="K411" t="s">
        <v>31</v>
      </c>
      <c r="L411" t="s">
        <v>80</v>
      </c>
      <c r="M411" t="s">
        <v>56</v>
      </c>
      <c r="N411">
        <v>0</v>
      </c>
      <c r="O411" t="s">
        <v>34</v>
      </c>
      <c r="P411" t="s">
        <v>91</v>
      </c>
      <c r="Q411" t="s">
        <v>76</v>
      </c>
      <c r="R411" t="s">
        <v>37</v>
      </c>
      <c r="S411" t="s">
        <v>38</v>
      </c>
      <c r="T411">
        <v>11</v>
      </c>
      <c r="U411">
        <v>52972</v>
      </c>
      <c r="V411">
        <v>0</v>
      </c>
      <c r="W411">
        <v>0</v>
      </c>
      <c r="X411">
        <v>0</v>
      </c>
      <c r="Y411">
        <f>IF(tbl_Incidents[[#This Row],[Lost_Time_Days]]&gt;0, 1, 0)</f>
        <v>0</v>
      </c>
      <c r="Z411" s="1">
        <f>DATE(tbl_Incidents[[#This Row],[Year]], tbl_Incidents[[#This Row],[Month]], 1)</f>
        <v>44682</v>
      </c>
      <c r="AA411" t="str">
        <f t="shared" si="6"/>
        <v>Broome Logistics Hub|2022-05</v>
      </c>
    </row>
    <row r="412" spans="1:27" x14ac:dyDescent="0.35">
      <c r="A412" t="s">
        <v>510</v>
      </c>
      <c r="B412" s="1">
        <v>45269</v>
      </c>
      <c r="C412">
        <v>2023</v>
      </c>
      <c r="D412">
        <v>12</v>
      </c>
      <c r="E412" t="s">
        <v>123</v>
      </c>
      <c r="F412" t="s">
        <v>26</v>
      </c>
      <c r="G412" t="s">
        <v>27</v>
      </c>
      <c r="H412" t="s">
        <v>73</v>
      </c>
      <c r="I412" t="s">
        <v>44</v>
      </c>
      <c r="J412" t="s">
        <v>30</v>
      </c>
      <c r="K412" t="s">
        <v>62</v>
      </c>
      <c r="L412" t="s">
        <v>83</v>
      </c>
      <c r="M412" t="s">
        <v>46</v>
      </c>
      <c r="N412">
        <v>0</v>
      </c>
      <c r="O412" t="s">
        <v>34</v>
      </c>
      <c r="P412" t="s">
        <v>47</v>
      </c>
      <c r="Q412" t="s">
        <v>81</v>
      </c>
      <c r="R412" t="s">
        <v>57</v>
      </c>
      <c r="S412" t="s">
        <v>38</v>
      </c>
      <c r="T412">
        <v>10</v>
      </c>
      <c r="U412">
        <v>113446</v>
      </c>
      <c r="V412">
        <v>0</v>
      </c>
      <c r="W412">
        <v>0</v>
      </c>
      <c r="X412">
        <v>0</v>
      </c>
      <c r="Y412">
        <f>IF(tbl_Incidents[[#This Row],[Lost_Time_Days]]&gt;0, 1, 0)</f>
        <v>0</v>
      </c>
      <c r="Z412" s="1">
        <f>DATE(tbl_Incidents[[#This Row],[Year]], tbl_Incidents[[#This Row],[Month]], 1)</f>
        <v>45261</v>
      </c>
      <c r="AA412" t="str">
        <f t="shared" si="6"/>
        <v>Thunderbird Mine|2023-12</v>
      </c>
    </row>
    <row r="413" spans="1:27" x14ac:dyDescent="0.35">
      <c r="A413" t="s">
        <v>511</v>
      </c>
      <c r="B413" s="1">
        <v>45132</v>
      </c>
      <c r="C413">
        <v>2023</v>
      </c>
      <c r="D413">
        <v>7</v>
      </c>
      <c r="E413" t="s">
        <v>85</v>
      </c>
      <c r="F413" t="s">
        <v>67</v>
      </c>
      <c r="G413" t="s">
        <v>59</v>
      </c>
      <c r="H413" t="s">
        <v>120</v>
      </c>
      <c r="I413" t="s">
        <v>54</v>
      </c>
      <c r="J413" t="s">
        <v>30</v>
      </c>
      <c r="K413" t="s">
        <v>31</v>
      </c>
      <c r="L413" t="s">
        <v>45</v>
      </c>
      <c r="M413" t="s">
        <v>56</v>
      </c>
      <c r="N413">
        <v>0</v>
      </c>
      <c r="O413" t="s">
        <v>34</v>
      </c>
      <c r="P413" t="s">
        <v>91</v>
      </c>
      <c r="Q413" t="s">
        <v>76</v>
      </c>
      <c r="R413" t="s">
        <v>57</v>
      </c>
      <c r="S413" t="s">
        <v>50</v>
      </c>
      <c r="T413">
        <v>12</v>
      </c>
      <c r="U413">
        <v>110574</v>
      </c>
      <c r="V413">
        <v>0</v>
      </c>
      <c r="W413">
        <v>0</v>
      </c>
      <c r="X413">
        <v>0</v>
      </c>
      <c r="Y413">
        <f>IF(tbl_Incidents[[#This Row],[Lost_Time_Days]]&gt;0, 1, 0)</f>
        <v>0</v>
      </c>
      <c r="Z413" s="1">
        <f>DATE(tbl_Incidents[[#This Row],[Year]], tbl_Incidents[[#This Row],[Month]], 1)</f>
        <v>45108</v>
      </c>
      <c r="AA413" t="str">
        <f t="shared" si="6"/>
        <v>Pilbara Crusher Plant|2023-07</v>
      </c>
    </row>
    <row r="414" spans="1:27" x14ac:dyDescent="0.35">
      <c r="A414" t="s">
        <v>512</v>
      </c>
      <c r="B414" s="1">
        <v>44740</v>
      </c>
      <c r="C414">
        <v>2022</v>
      </c>
      <c r="D414">
        <v>6</v>
      </c>
      <c r="E414" t="s">
        <v>72</v>
      </c>
      <c r="F414" t="s">
        <v>41</v>
      </c>
      <c r="G414" t="s">
        <v>59</v>
      </c>
      <c r="H414" t="s">
        <v>120</v>
      </c>
      <c r="I414" t="s">
        <v>54</v>
      </c>
      <c r="J414" t="s">
        <v>30</v>
      </c>
      <c r="K414" t="s">
        <v>31</v>
      </c>
      <c r="L414" t="s">
        <v>80</v>
      </c>
      <c r="M414" t="s">
        <v>46</v>
      </c>
      <c r="N414">
        <v>0</v>
      </c>
      <c r="O414" t="s">
        <v>90</v>
      </c>
      <c r="P414" t="s">
        <v>47</v>
      </c>
      <c r="Q414" t="s">
        <v>64</v>
      </c>
      <c r="R414" t="s">
        <v>57</v>
      </c>
      <c r="S414" t="s">
        <v>88</v>
      </c>
      <c r="T414">
        <v>12</v>
      </c>
      <c r="U414">
        <v>77555</v>
      </c>
      <c r="V414">
        <v>0</v>
      </c>
      <c r="W414">
        <v>0</v>
      </c>
      <c r="X414">
        <v>0</v>
      </c>
      <c r="Y414">
        <f>IF(tbl_Incidents[[#This Row],[Lost_Time_Days]]&gt;0, 1, 0)</f>
        <v>0</v>
      </c>
      <c r="Z414" s="1">
        <f>DATE(tbl_Incidents[[#This Row],[Year]], tbl_Incidents[[#This Row],[Month]], 1)</f>
        <v>44713</v>
      </c>
      <c r="AA414" t="str">
        <f t="shared" si="6"/>
        <v>Pilbara Crusher Plant|2022-06</v>
      </c>
    </row>
    <row r="415" spans="1:27" x14ac:dyDescent="0.35">
      <c r="A415" t="s">
        <v>513</v>
      </c>
      <c r="B415" s="1">
        <v>45036</v>
      </c>
      <c r="C415">
        <v>2023</v>
      </c>
      <c r="D415">
        <v>4</v>
      </c>
      <c r="E415" t="s">
        <v>40</v>
      </c>
      <c r="F415" t="s">
        <v>41</v>
      </c>
      <c r="G415" t="s">
        <v>42</v>
      </c>
      <c r="H415" t="s">
        <v>73</v>
      </c>
      <c r="I415" t="s">
        <v>79</v>
      </c>
      <c r="J415" t="s">
        <v>30</v>
      </c>
      <c r="K415" t="s">
        <v>31</v>
      </c>
      <c r="L415" t="s">
        <v>80</v>
      </c>
      <c r="M415" t="s">
        <v>56</v>
      </c>
      <c r="N415">
        <v>0</v>
      </c>
      <c r="O415" t="s">
        <v>75</v>
      </c>
      <c r="P415" t="s">
        <v>47</v>
      </c>
      <c r="Q415" t="s">
        <v>36</v>
      </c>
      <c r="R415" t="s">
        <v>57</v>
      </c>
      <c r="S415" t="s">
        <v>38</v>
      </c>
      <c r="T415">
        <v>10</v>
      </c>
      <c r="U415">
        <v>69912</v>
      </c>
      <c r="V415">
        <v>0</v>
      </c>
      <c r="W415">
        <v>0</v>
      </c>
      <c r="X415">
        <v>0</v>
      </c>
      <c r="Y415">
        <f>IF(tbl_Incidents[[#This Row],[Lost_Time_Days]]&gt;0, 1, 0)</f>
        <v>0</v>
      </c>
      <c r="Z415" s="1">
        <f>DATE(tbl_Incidents[[#This Row],[Year]], tbl_Incidents[[#This Row],[Month]], 1)</f>
        <v>45017</v>
      </c>
      <c r="AA415" t="str">
        <f t="shared" si="6"/>
        <v>Darwin Port Facility|2023-04</v>
      </c>
    </row>
    <row r="416" spans="1:27" x14ac:dyDescent="0.35">
      <c r="A416" t="s">
        <v>514</v>
      </c>
      <c r="B416" s="1">
        <v>44883</v>
      </c>
      <c r="C416">
        <v>2022</v>
      </c>
      <c r="D416">
        <v>11</v>
      </c>
      <c r="E416" t="s">
        <v>107</v>
      </c>
      <c r="F416" t="s">
        <v>26</v>
      </c>
      <c r="G416" t="s">
        <v>59</v>
      </c>
      <c r="H416" t="s">
        <v>28</v>
      </c>
      <c r="I416" t="s">
        <v>60</v>
      </c>
      <c r="J416" t="s">
        <v>61</v>
      </c>
      <c r="K416" t="s">
        <v>62</v>
      </c>
      <c r="L416" t="s">
        <v>95</v>
      </c>
      <c r="M416" t="s">
        <v>46</v>
      </c>
      <c r="N416">
        <v>0</v>
      </c>
      <c r="O416" t="s">
        <v>63</v>
      </c>
      <c r="P416" t="s">
        <v>91</v>
      </c>
      <c r="Q416" t="s">
        <v>64</v>
      </c>
      <c r="R416" t="s">
        <v>57</v>
      </c>
      <c r="S416" t="s">
        <v>50</v>
      </c>
      <c r="T416">
        <v>12</v>
      </c>
      <c r="U416">
        <v>99020</v>
      </c>
      <c r="V416">
        <v>1</v>
      </c>
      <c r="W416">
        <v>0</v>
      </c>
      <c r="X416">
        <v>0</v>
      </c>
      <c r="Y416">
        <f>IF(tbl_Incidents[[#This Row],[Lost_Time_Days]]&gt;0, 1, 0)</f>
        <v>0</v>
      </c>
      <c r="Z416" s="1">
        <f>DATE(tbl_Incidents[[#This Row],[Year]], tbl_Incidents[[#This Row],[Month]], 1)</f>
        <v>44866</v>
      </c>
      <c r="AA416" t="str">
        <f t="shared" si="6"/>
        <v>Pilbara Crusher Plant|2022-11</v>
      </c>
    </row>
    <row r="417" spans="1:27" x14ac:dyDescent="0.35">
      <c r="A417" t="s">
        <v>515</v>
      </c>
      <c r="B417" s="1">
        <v>44985</v>
      </c>
      <c r="C417">
        <v>2023</v>
      </c>
      <c r="D417">
        <v>2</v>
      </c>
      <c r="E417" t="s">
        <v>52</v>
      </c>
      <c r="F417" t="s">
        <v>53</v>
      </c>
      <c r="G417" t="s">
        <v>42</v>
      </c>
      <c r="H417" t="s">
        <v>68</v>
      </c>
      <c r="I417" t="s">
        <v>44</v>
      </c>
      <c r="J417" t="s">
        <v>30</v>
      </c>
      <c r="K417" t="s">
        <v>112</v>
      </c>
      <c r="L417" t="s">
        <v>100</v>
      </c>
      <c r="M417" t="s">
        <v>46</v>
      </c>
      <c r="N417">
        <v>0</v>
      </c>
      <c r="O417" t="s">
        <v>34</v>
      </c>
      <c r="P417" t="s">
        <v>35</v>
      </c>
      <c r="Q417" t="s">
        <v>48</v>
      </c>
      <c r="R417" t="s">
        <v>57</v>
      </c>
      <c r="S417" t="s">
        <v>88</v>
      </c>
      <c r="T417">
        <v>8</v>
      </c>
      <c r="U417">
        <v>52524</v>
      </c>
      <c r="V417">
        <v>0</v>
      </c>
      <c r="W417">
        <v>0</v>
      </c>
      <c r="X417">
        <v>0</v>
      </c>
      <c r="Y417">
        <f>IF(tbl_Incidents[[#This Row],[Lost_Time_Days]]&gt;0, 1, 0)</f>
        <v>0</v>
      </c>
      <c r="Z417" s="1">
        <f>DATE(tbl_Incidents[[#This Row],[Year]], tbl_Incidents[[#This Row],[Month]], 1)</f>
        <v>44958</v>
      </c>
      <c r="AA417" t="str">
        <f t="shared" si="6"/>
        <v>Darwin Port Facility|2023-02</v>
      </c>
    </row>
    <row r="418" spans="1:27" x14ac:dyDescent="0.35">
      <c r="A418" t="s">
        <v>516</v>
      </c>
      <c r="B418" s="1">
        <v>44627</v>
      </c>
      <c r="C418">
        <v>2022</v>
      </c>
      <c r="D418">
        <v>3</v>
      </c>
      <c r="E418" t="s">
        <v>125</v>
      </c>
      <c r="F418" t="s">
        <v>53</v>
      </c>
      <c r="G418" t="s">
        <v>27</v>
      </c>
      <c r="H418" t="s">
        <v>68</v>
      </c>
      <c r="I418" t="s">
        <v>110</v>
      </c>
      <c r="J418" t="s">
        <v>61</v>
      </c>
      <c r="K418" t="s">
        <v>139</v>
      </c>
      <c r="L418" t="s">
        <v>103</v>
      </c>
      <c r="M418" t="s">
        <v>33</v>
      </c>
      <c r="N418">
        <v>18</v>
      </c>
      <c r="O418" t="s">
        <v>34</v>
      </c>
      <c r="P418" t="s">
        <v>91</v>
      </c>
      <c r="Q418" t="s">
        <v>76</v>
      </c>
      <c r="R418" t="s">
        <v>57</v>
      </c>
      <c r="S418" t="s">
        <v>38</v>
      </c>
      <c r="T418">
        <v>11</v>
      </c>
      <c r="U418">
        <v>80549</v>
      </c>
      <c r="V418">
        <v>1</v>
      </c>
      <c r="W418">
        <v>0</v>
      </c>
      <c r="X418">
        <v>0</v>
      </c>
      <c r="Y418">
        <f>IF(tbl_Incidents[[#This Row],[Lost_Time_Days]]&gt;0, 1, 0)</f>
        <v>1</v>
      </c>
      <c r="Z418" s="1">
        <f>DATE(tbl_Incidents[[#This Row],[Year]], tbl_Incidents[[#This Row],[Month]], 1)</f>
        <v>44621</v>
      </c>
      <c r="AA418" t="str">
        <f t="shared" si="6"/>
        <v>Thunderbird Mine|2022-03</v>
      </c>
    </row>
    <row r="419" spans="1:27" x14ac:dyDescent="0.35">
      <c r="A419" t="s">
        <v>517</v>
      </c>
      <c r="B419" s="1">
        <v>45317</v>
      </c>
      <c r="C419">
        <v>2024</v>
      </c>
      <c r="D419">
        <v>1</v>
      </c>
      <c r="E419" t="s">
        <v>129</v>
      </c>
      <c r="F419" t="s">
        <v>53</v>
      </c>
      <c r="G419" t="s">
        <v>105</v>
      </c>
      <c r="H419" t="s">
        <v>28</v>
      </c>
      <c r="I419" t="s">
        <v>60</v>
      </c>
      <c r="J419" t="s">
        <v>61</v>
      </c>
      <c r="K419" t="s">
        <v>112</v>
      </c>
      <c r="L419" t="s">
        <v>93</v>
      </c>
      <c r="M419" t="s">
        <v>46</v>
      </c>
      <c r="N419">
        <v>0</v>
      </c>
      <c r="O419" t="s">
        <v>70</v>
      </c>
      <c r="P419" t="s">
        <v>35</v>
      </c>
      <c r="Q419" t="s">
        <v>36</v>
      </c>
      <c r="R419" t="s">
        <v>57</v>
      </c>
      <c r="S419" t="s">
        <v>38</v>
      </c>
      <c r="T419">
        <v>10</v>
      </c>
      <c r="U419">
        <v>102410</v>
      </c>
      <c r="V419">
        <v>1</v>
      </c>
      <c r="W419">
        <v>0</v>
      </c>
      <c r="X419">
        <v>0</v>
      </c>
      <c r="Y419">
        <f>IF(tbl_Incidents[[#This Row],[Lost_Time_Days]]&gt;0, 1, 0)</f>
        <v>0</v>
      </c>
      <c r="Z419" s="1">
        <f>DATE(tbl_Incidents[[#This Row],[Year]], tbl_Incidents[[#This Row],[Month]], 1)</f>
        <v>45292</v>
      </c>
      <c r="AA419" t="str">
        <f t="shared" si="6"/>
        <v>Katherine Processing Site|2024-01</v>
      </c>
    </row>
    <row r="420" spans="1:27" x14ac:dyDescent="0.35">
      <c r="A420" t="s">
        <v>518</v>
      </c>
      <c r="B420" s="1">
        <v>45040</v>
      </c>
      <c r="C420">
        <v>2023</v>
      </c>
      <c r="D420">
        <v>4</v>
      </c>
      <c r="E420" t="s">
        <v>40</v>
      </c>
      <c r="F420" t="s">
        <v>41</v>
      </c>
      <c r="G420" t="s">
        <v>78</v>
      </c>
      <c r="H420" t="s">
        <v>120</v>
      </c>
      <c r="I420" t="s">
        <v>54</v>
      </c>
      <c r="J420" t="s">
        <v>30</v>
      </c>
      <c r="K420" t="s">
        <v>31</v>
      </c>
      <c r="L420" t="s">
        <v>103</v>
      </c>
      <c r="M420" t="s">
        <v>56</v>
      </c>
      <c r="N420">
        <v>0</v>
      </c>
      <c r="O420" t="s">
        <v>34</v>
      </c>
      <c r="P420" t="s">
        <v>35</v>
      </c>
      <c r="Q420" t="s">
        <v>76</v>
      </c>
      <c r="R420" t="s">
        <v>37</v>
      </c>
      <c r="S420" t="s">
        <v>88</v>
      </c>
      <c r="T420">
        <v>12</v>
      </c>
      <c r="U420">
        <v>97013</v>
      </c>
      <c r="V420">
        <v>0</v>
      </c>
      <c r="W420">
        <v>0</v>
      </c>
      <c r="X420">
        <v>0</v>
      </c>
      <c r="Y420">
        <f>IF(tbl_Incidents[[#This Row],[Lost_Time_Days]]&gt;0, 1, 0)</f>
        <v>0</v>
      </c>
      <c r="Z420" s="1">
        <f>DATE(tbl_Incidents[[#This Row],[Year]], tbl_Incidents[[#This Row],[Month]], 1)</f>
        <v>45017</v>
      </c>
      <c r="AA420" t="str">
        <f t="shared" si="6"/>
        <v>Broome Logistics Hub|2023-04</v>
      </c>
    </row>
    <row r="421" spans="1:27" x14ac:dyDescent="0.35">
      <c r="A421" t="s">
        <v>519</v>
      </c>
      <c r="B421" s="1">
        <v>45098</v>
      </c>
      <c r="C421">
        <v>2023</v>
      </c>
      <c r="D421">
        <v>6</v>
      </c>
      <c r="E421" t="s">
        <v>72</v>
      </c>
      <c r="F421" t="s">
        <v>41</v>
      </c>
      <c r="G421" t="s">
        <v>78</v>
      </c>
      <c r="H421" t="s">
        <v>120</v>
      </c>
      <c r="I421" t="s">
        <v>79</v>
      </c>
      <c r="J421" t="s">
        <v>30</v>
      </c>
      <c r="K421" t="s">
        <v>31</v>
      </c>
      <c r="L421" t="s">
        <v>80</v>
      </c>
      <c r="M421" t="s">
        <v>56</v>
      </c>
      <c r="N421">
        <v>0</v>
      </c>
      <c r="O421" t="s">
        <v>90</v>
      </c>
      <c r="P421" t="s">
        <v>35</v>
      </c>
      <c r="Q421" t="s">
        <v>36</v>
      </c>
      <c r="R421" t="s">
        <v>49</v>
      </c>
      <c r="S421" t="s">
        <v>38</v>
      </c>
      <c r="T421">
        <v>10</v>
      </c>
      <c r="U421">
        <v>94028</v>
      </c>
      <c r="V421">
        <v>0</v>
      </c>
      <c r="W421">
        <v>0</v>
      </c>
      <c r="X421">
        <v>0</v>
      </c>
      <c r="Y421">
        <f>IF(tbl_Incidents[[#This Row],[Lost_Time_Days]]&gt;0, 1, 0)</f>
        <v>0</v>
      </c>
      <c r="Z421" s="1">
        <f>DATE(tbl_Incidents[[#This Row],[Year]], tbl_Incidents[[#This Row],[Month]], 1)</f>
        <v>45078</v>
      </c>
      <c r="AA421" t="str">
        <f t="shared" si="6"/>
        <v>Broome Logistics Hub|2023-06</v>
      </c>
    </row>
    <row r="422" spans="1:27" x14ac:dyDescent="0.35">
      <c r="A422" t="s">
        <v>520</v>
      </c>
      <c r="B422" s="1">
        <v>44828</v>
      </c>
      <c r="C422">
        <v>2022</v>
      </c>
      <c r="D422">
        <v>9</v>
      </c>
      <c r="E422" t="s">
        <v>97</v>
      </c>
      <c r="F422" t="s">
        <v>67</v>
      </c>
      <c r="G422" t="s">
        <v>59</v>
      </c>
      <c r="H422" t="s">
        <v>68</v>
      </c>
      <c r="I422" t="s">
        <v>44</v>
      </c>
      <c r="J422" t="s">
        <v>30</v>
      </c>
      <c r="K422" t="s">
        <v>147</v>
      </c>
      <c r="L422" t="s">
        <v>103</v>
      </c>
      <c r="M422" t="s">
        <v>33</v>
      </c>
      <c r="N422">
        <v>0</v>
      </c>
      <c r="O422" t="s">
        <v>34</v>
      </c>
      <c r="P422" t="s">
        <v>91</v>
      </c>
      <c r="Q422" t="s">
        <v>64</v>
      </c>
      <c r="R422" t="s">
        <v>37</v>
      </c>
      <c r="S422" t="s">
        <v>38</v>
      </c>
      <c r="T422">
        <v>11</v>
      </c>
      <c r="U422">
        <v>102530</v>
      </c>
      <c r="V422">
        <v>0</v>
      </c>
      <c r="W422">
        <v>0</v>
      </c>
      <c r="X422">
        <v>0</v>
      </c>
      <c r="Y422">
        <f>IF(tbl_Incidents[[#This Row],[Lost_Time_Days]]&gt;0, 1, 0)</f>
        <v>0</v>
      </c>
      <c r="Z422" s="1">
        <f>DATE(tbl_Incidents[[#This Row],[Year]], tbl_Incidents[[#This Row],[Month]], 1)</f>
        <v>44805</v>
      </c>
      <c r="AA422" t="str">
        <f t="shared" si="6"/>
        <v>Pilbara Crusher Plant|2022-09</v>
      </c>
    </row>
    <row r="423" spans="1:27" x14ac:dyDescent="0.35">
      <c r="A423" t="s">
        <v>521</v>
      </c>
      <c r="B423" s="1">
        <v>44868</v>
      </c>
      <c r="C423">
        <v>2022</v>
      </c>
      <c r="D423">
        <v>11</v>
      </c>
      <c r="E423" t="s">
        <v>107</v>
      </c>
      <c r="F423" t="s">
        <v>26</v>
      </c>
      <c r="G423" t="s">
        <v>105</v>
      </c>
      <c r="H423" t="s">
        <v>120</v>
      </c>
      <c r="I423" t="s">
        <v>29</v>
      </c>
      <c r="J423" t="s">
        <v>30</v>
      </c>
      <c r="K423" t="s">
        <v>31</v>
      </c>
      <c r="L423" t="s">
        <v>95</v>
      </c>
      <c r="M423" t="s">
        <v>33</v>
      </c>
      <c r="N423">
        <v>0</v>
      </c>
      <c r="O423" t="s">
        <v>70</v>
      </c>
      <c r="P423" t="s">
        <v>35</v>
      </c>
      <c r="Q423" t="s">
        <v>76</v>
      </c>
      <c r="R423" t="s">
        <v>57</v>
      </c>
      <c r="S423" t="s">
        <v>38</v>
      </c>
      <c r="T423">
        <v>11</v>
      </c>
      <c r="U423">
        <v>113472</v>
      </c>
      <c r="V423">
        <v>0</v>
      </c>
      <c r="W423">
        <v>0</v>
      </c>
      <c r="X423">
        <v>0</v>
      </c>
      <c r="Y423">
        <f>IF(tbl_Incidents[[#This Row],[Lost_Time_Days]]&gt;0, 1, 0)</f>
        <v>0</v>
      </c>
      <c r="Z423" s="1">
        <f>DATE(tbl_Incidents[[#This Row],[Year]], tbl_Incidents[[#This Row],[Month]], 1)</f>
        <v>44866</v>
      </c>
      <c r="AA423" t="str">
        <f t="shared" si="6"/>
        <v>Katherine Processing Site|2022-11</v>
      </c>
    </row>
    <row r="424" spans="1:27" x14ac:dyDescent="0.35">
      <c r="A424" t="s">
        <v>522</v>
      </c>
      <c r="B424" s="1">
        <v>44817</v>
      </c>
      <c r="C424">
        <v>2022</v>
      </c>
      <c r="D424">
        <v>9</v>
      </c>
      <c r="E424" t="s">
        <v>97</v>
      </c>
      <c r="F424" t="s">
        <v>67</v>
      </c>
      <c r="G424" t="s">
        <v>105</v>
      </c>
      <c r="H424" t="s">
        <v>86</v>
      </c>
      <c r="I424" t="s">
        <v>44</v>
      </c>
      <c r="J424" t="s">
        <v>30</v>
      </c>
      <c r="K424" t="s">
        <v>69</v>
      </c>
      <c r="L424" t="s">
        <v>32</v>
      </c>
      <c r="M424" t="s">
        <v>33</v>
      </c>
      <c r="N424">
        <v>0</v>
      </c>
      <c r="O424" t="s">
        <v>63</v>
      </c>
      <c r="P424" t="s">
        <v>35</v>
      </c>
      <c r="Q424" t="s">
        <v>76</v>
      </c>
      <c r="R424" t="s">
        <v>37</v>
      </c>
      <c r="S424" t="s">
        <v>38</v>
      </c>
      <c r="T424">
        <v>10</v>
      </c>
      <c r="U424">
        <v>109722</v>
      </c>
      <c r="V424">
        <v>0</v>
      </c>
      <c r="W424">
        <v>0</v>
      </c>
      <c r="X424">
        <v>0</v>
      </c>
      <c r="Y424">
        <f>IF(tbl_Incidents[[#This Row],[Lost_Time_Days]]&gt;0, 1, 0)</f>
        <v>0</v>
      </c>
      <c r="Z424" s="1">
        <f>DATE(tbl_Incidents[[#This Row],[Year]], tbl_Incidents[[#This Row],[Month]], 1)</f>
        <v>44805</v>
      </c>
      <c r="AA424" t="str">
        <f t="shared" si="6"/>
        <v>Katherine Processing Site|2022-09</v>
      </c>
    </row>
    <row r="425" spans="1:27" x14ac:dyDescent="0.35">
      <c r="A425" t="s">
        <v>523</v>
      </c>
      <c r="B425" s="1">
        <v>45390</v>
      </c>
      <c r="C425">
        <v>2024</v>
      </c>
      <c r="D425">
        <v>4</v>
      </c>
      <c r="E425" t="s">
        <v>40</v>
      </c>
      <c r="F425" t="s">
        <v>41</v>
      </c>
      <c r="G425" t="s">
        <v>105</v>
      </c>
      <c r="H425" t="s">
        <v>73</v>
      </c>
      <c r="I425" t="s">
        <v>60</v>
      </c>
      <c r="J425" t="s">
        <v>61</v>
      </c>
      <c r="K425" t="s">
        <v>165</v>
      </c>
      <c r="L425" t="s">
        <v>93</v>
      </c>
      <c r="M425" t="s">
        <v>33</v>
      </c>
      <c r="N425">
        <v>0</v>
      </c>
      <c r="O425" t="s">
        <v>34</v>
      </c>
      <c r="P425" t="s">
        <v>35</v>
      </c>
      <c r="Q425" t="s">
        <v>64</v>
      </c>
      <c r="R425" t="s">
        <v>37</v>
      </c>
      <c r="S425" t="s">
        <v>88</v>
      </c>
      <c r="T425">
        <v>10</v>
      </c>
      <c r="U425">
        <v>104486</v>
      </c>
      <c r="V425">
        <v>1</v>
      </c>
      <c r="W425">
        <v>0</v>
      </c>
      <c r="X425">
        <v>0</v>
      </c>
      <c r="Y425">
        <f>IF(tbl_Incidents[[#This Row],[Lost_Time_Days]]&gt;0, 1, 0)</f>
        <v>0</v>
      </c>
      <c r="Z425" s="1">
        <f>DATE(tbl_Incidents[[#This Row],[Year]], tbl_Incidents[[#This Row],[Month]], 1)</f>
        <v>45383</v>
      </c>
      <c r="AA425" t="str">
        <f t="shared" si="6"/>
        <v>Katherine Processing Site|2024-04</v>
      </c>
    </row>
    <row r="426" spans="1:27" x14ac:dyDescent="0.35">
      <c r="A426" t="s">
        <v>524</v>
      </c>
      <c r="B426" s="1">
        <v>44754</v>
      </c>
      <c r="C426">
        <v>2022</v>
      </c>
      <c r="D426">
        <v>7</v>
      </c>
      <c r="E426" t="s">
        <v>85</v>
      </c>
      <c r="F426" t="s">
        <v>67</v>
      </c>
      <c r="G426" t="s">
        <v>27</v>
      </c>
      <c r="H426" t="s">
        <v>73</v>
      </c>
      <c r="I426" t="s">
        <v>60</v>
      </c>
      <c r="J426" t="s">
        <v>61</v>
      </c>
      <c r="K426" t="s">
        <v>147</v>
      </c>
      <c r="L426" t="s">
        <v>103</v>
      </c>
      <c r="M426" t="s">
        <v>33</v>
      </c>
      <c r="N426">
        <v>0</v>
      </c>
      <c r="O426" t="s">
        <v>34</v>
      </c>
      <c r="P426" t="s">
        <v>35</v>
      </c>
      <c r="Q426" t="s">
        <v>81</v>
      </c>
      <c r="R426" t="s">
        <v>57</v>
      </c>
      <c r="S426" t="s">
        <v>38</v>
      </c>
      <c r="T426">
        <v>11</v>
      </c>
      <c r="U426">
        <v>41075</v>
      </c>
      <c r="V426">
        <v>1</v>
      </c>
      <c r="W426">
        <v>0</v>
      </c>
      <c r="X426">
        <v>0</v>
      </c>
      <c r="Y426">
        <f>IF(tbl_Incidents[[#This Row],[Lost_Time_Days]]&gt;0, 1, 0)</f>
        <v>0</v>
      </c>
      <c r="Z426" s="1">
        <f>DATE(tbl_Incidents[[#This Row],[Year]], tbl_Incidents[[#This Row],[Month]], 1)</f>
        <v>44743</v>
      </c>
      <c r="AA426" t="str">
        <f t="shared" si="6"/>
        <v>Thunderbird Mine|2022-07</v>
      </c>
    </row>
    <row r="427" spans="1:27" x14ac:dyDescent="0.35">
      <c r="A427" t="s">
        <v>525</v>
      </c>
      <c r="B427" s="1">
        <v>44800</v>
      </c>
      <c r="C427">
        <v>2022</v>
      </c>
      <c r="D427">
        <v>8</v>
      </c>
      <c r="E427" t="s">
        <v>66</v>
      </c>
      <c r="F427" t="s">
        <v>67</v>
      </c>
      <c r="G427" t="s">
        <v>42</v>
      </c>
      <c r="H427" t="s">
        <v>68</v>
      </c>
      <c r="I427" t="s">
        <v>29</v>
      </c>
      <c r="J427" t="s">
        <v>30</v>
      </c>
      <c r="K427" t="s">
        <v>31</v>
      </c>
      <c r="L427" t="s">
        <v>83</v>
      </c>
      <c r="M427" t="s">
        <v>33</v>
      </c>
      <c r="N427">
        <v>0</v>
      </c>
      <c r="O427" t="s">
        <v>34</v>
      </c>
      <c r="P427" t="s">
        <v>47</v>
      </c>
      <c r="Q427" t="s">
        <v>81</v>
      </c>
      <c r="R427" t="s">
        <v>49</v>
      </c>
      <c r="S427" t="s">
        <v>38</v>
      </c>
      <c r="T427">
        <v>11</v>
      </c>
      <c r="U427">
        <v>44159</v>
      </c>
      <c r="V427">
        <v>0</v>
      </c>
      <c r="W427">
        <v>0</v>
      </c>
      <c r="X427">
        <v>0</v>
      </c>
      <c r="Y427">
        <f>IF(tbl_Incidents[[#This Row],[Lost_Time_Days]]&gt;0, 1, 0)</f>
        <v>0</v>
      </c>
      <c r="Z427" s="1">
        <f>DATE(tbl_Incidents[[#This Row],[Year]], tbl_Incidents[[#This Row],[Month]], 1)</f>
        <v>44774</v>
      </c>
      <c r="AA427" t="str">
        <f t="shared" si="6"/>
        <v>Darwin Port Facility|2022-08</v>
      </c>
    </row>
    <row r="428" spans="1:27" x14ac:dyDescent="0.35">
      <c r="A428" t="s">
        <v>526</v>
      </c>
      <c r="B428" s="1">
        <v>45425</v>
      </c>
      <c r="C428">
        <v>2024</v>
      </c>
      <c r="D428">
        <v>5</v>
      </c>
      <c r="E428" t="s">
        <v>109</v>
      </c>
      <c r="F428" t="s">
        <v>41</v>
      </c>
      <c r="G428" t="s">
        <v>42</v>
      </c>
      <c r="H428" t="s">
        <v>68</v>
      </c>
      <c r="I428" t="s">
        <v>54</v>
      </c>
      <c r="J428" t="s">
        <v>30</v>
      </c>
      <c r="K428" t="s">
        <v>31</v>
      </c>
      <c r="L428" t="s">
        <v>32</v>
      </c>
      <c r="M428" t="s">
        <v>56</v>
      </c>
      <c r="N428">
        <v>0</v>
      </c>
      <c r="O428" t="s">
        <v>34</v>
      </c>
      <c r="P428" t="s">
        <v>47</v>
      </c>
      <c r="Q428" t="s">
        <v>48</v>
      </c>
      <c r="R428" t="s">
        <v>57</v>
      </c>
      <c r="S428" t="s">
        <v>38</v>
      </c>
      <c r="T428">
        <v>11</v>
      </c>
      <c r="U428">
        <v>41653</v>
      </c>
      <c r="V428">
        <v>0</v>
      </c>
      <c r="W428">
        <v>0</v>
      </c>
      <c r="X428">
        <v>0</v>
      </c>
      <c r="Y428">
        <f>IF(tbl_Incidents[[#This Row],[Lost_Time_Days]]&gt;0, 1, 0)</f>
        <v>0</v>
      </c>
      <c r="Z428" s="1">
        <f>DATE(tbl_Incidents[[#This Row],[Year]], tbl_Incidents[[#This Row],[Month]], 1)</f>
        <v>45413</v>
      </c>
      <c r="AA428" t="str">
        <f t="shared" si="6"/>
        <v>Darwin Port Facility|2024-05</v>
      </c>
    </row>
    <row r="429" spans="1:27" x14ac:dyDescent="0.35">
      <c r="A429" t="s">
        <v>527</v>
      </c>
      <c r="B429" s="1">
        <v>44686</v>
      </c>
      <c r="C429">
        <v>2022</v>
      </c>
      <c r="D429">
        <v>5</v>
      </c>
      <c r="E429" t="s">
        <v>109</v>
      </c>
      <c r="F429" t="s">
        <v>41</v>
      </c>
      <c r="G429" t="s">
        <v>42</v>
      </c>
      <c r="H429" t="s">
        <v>86</v>
      </c>
      <c r="I429" t="s">
        <v>54</v>
      </c>
      <c r="J429" t="s">
        <v>30</v>
      </c>
      <c r="K429" t="s">
        <v>31</v>
      </c>
      <c r="L429" t="s">
        <v>83</v>
      </c>
      <c r="M429" t="s">
        <v>33</v>
      </c>
      <c r="N429">
        <v>0</v>
      </c>
      <c r="O429" t="s">
        <v>75</v>
      </c>
      <c r="P429" t="s">
        <v>35</v>
      </c>
      <c r="Q429" t="s">
        <v>48</v>
      </c>
      <c r="R429" t="s">
        <v>49</v>
      </c>
      <c r="S429" t="s">
        <v>38</v>
      </c>
      <c r="T429">
        <v>12</v>
      </c>
      <c r="U429">
        <v>67321</v>
      </c>
      <c r="V429">
        <v>0</v>
      </c>
      <c r="W429">
        <v>0</v>
      </c>
      <c r="X429">
        <v>0</v>
      </c>
      <c r="Y429">
        <f>IF(tbl_Incidents[[#This Row],[Lost_Time_Days]]&gt;0, 1, 0)</f>
        <v>0</v>
      </c>
      <c r="Z429" s="1">
        <f>DATE(tbl_Incidents[[#This Row],[Year]], tbl_Incidents[[#This Row],[Month]], 1)</f>
        <v>44682</v>
      </c>
      <c r="AA429" t="str">
        <f t="shared" si="6"/>
        <v>Darwin Port Facility|2022-05</v>
      </c>
    </row>
    <row r="430" spans="1:27" x14ac:dyDescent="0.35">
      <c r="A430" t="s">
        <v>528</v>
      </c>
      <c r="B430" s="1">
        <v>45046</v>
      </c>
      <c r="C430">
        <v>2023</v>
      </c>
      <c r="D430">
        <v>4</v>
      </c>
      <c r="E430" t="s">
        <v>40</v>
      </c>
      <c r="F430" t="s">
        <v>41</v>
      </c>
      <c r="G430" t="s">
        <v>59</v>
      </c>
      <c r="H430" t="s">
        <v>120</v>
      </c>
      <c r="I430" t="s">
        <v>110</v>
      </c>
      <c r="J430" t="s">
        <v>61</v>
      </c>
      <c r="K430" t="s">
        <v>112</v>
      </c>
      <c r="L430" t="s">
        <v>45</v>
      </c>
      <c r="M430" t="s">
        <v>46</v>
      </c>
      <c r="N430">
        <v>22</v>
      </c>
      <c r="O430" t="s">
        <v>90</v>
      </c>
      <c r="P430" t="s">
        <v>35</v>
      </c>
      <c r="Q430" t="s">
        <v>81</v>
      </c>
      <c r="R430" t="s">
        <v>49</v>
      </c>
      <c r="S430" t="s">
        <v>38</v>
      </c>
      <c r="T430">
        <v>9</v>
      </c>
      <c r="U430">
        <v>87241</v>
      </c>
      <c r="V430">
        <v>1</v>
      </c>
      <c r="W430">
        <v>0</v>
      </c>
      <c r="X430">
        <v>1</v>
      </c>
      <c r="Y430">
        <f>IF(tbl_Incidents[[#This Row],[Lost_Time_Days]]&gt;0, 1, 0)</f>
        <v>1</v>
      </c>
      <c r="Z430" s="1">
        <f>DATE(tbl_Incidents[[#This Row],[Year]], tbl_Incidents[[#This Row],[Month]], 1)</f>
        <v>45017</v>
      </c>
      <c r="AA430" t="str">
        <f t="shared" si="6"/>
        <v>Pilbara Crusher Plant|2023-04</v>
      </c>
    </row>
    <row r="431" spans="1:27" x14ac:dyDescent="0.35">
      <c r="A431" t="s">
        <v>529</v>
      </c>
      <c r="B431" s="1">
        <v>45446</v>
      </c>
      <c r="C431">
        <v>2024</v>
      </c>
      <c r="D431">
        <v>6</v>
      </c>
      <c r="E431" t="s">
        <v>72</v>
      </c>
      <c r="F431" t="s">
        <v>41</v>
      </c>
      <c r="G431" t="s">
        <v>42</v>
      </c>
      <c r="H431" t="s">
        <v>68</v>
      </c>
      <c r="I431" t="s">
        <v>79</v>
      </c>
      <c r="J431" t="s">
        <v>30</v>
      </c>
      <c r="K431" t="s">
        <v>31</v>
      </c>
      <c r="L431" t="s">
        <v>100</v>
      </c>
      <c r="M431" t="s">
        <v>46</v>
      </c>
      <c r="N431">
        <v>0</v>
      </c>
      <c r="O431" t="s">
        <v>63</v>
      </c>
      <c r="P431" t="s">
        <v>91</v>
      </c>
      <c r="Q431" t="s">
        <v>36</v>
      </c>
      <c r="R431" t="s">
        <v>57</v>
      </c>
      <c r="S431" t="s">
        <v>38</v>
      </c>
      <c r="T431">
        <v>12</v>
      </c>
      <c r="U431">
        <v>55682</v>
      </c>
      <c r="V431">
        <v>0</v>
      </c>
      <c r="W431">
        <v>0</v>
      </c>
      <c r="X431">
        <v>0</v>
      </c>
      <c r="Y431">
        <f>IF(tbl_Incidents[[#This Row],[Lost_Time_Days]]&gt;0, 1, 0)</f>
        <v>0</v>
      </c>
      <c r="Z431" s="1">
        <f>DATE(tbl_Incidents[[#This Row],[Year]], tbl_Incidents[[#This Row],[Month]], 1)</f>
        <v>45444</v>
      </c>
      <c r="AA431" t="str">
        <f t="shared" si="6"/>
        <v>Darwin Port Facility|2024-06</v>
      </c>
    </row>
    <row r="432" spans="1:27" x14ac:dyDescent="0.35">
      <c r="A432" t="s">
        <v>530</v>
      </c>
      <c r="B432" s="1">
        <v>44967</v>
      </c>
      <c r="C432">
        <v>2023</v>
      </c>
      <c r="D432">
        <v>2</v>
      </c>
      <c r="E432" t="s">
        <v>52</v>
      </c>
      <c r="F432" t="s">
        <v>53</v>
      </c>
      <c r="G432" t="s">
        <v>42</v>
      </c>
      <c r="H432" t="s">
        <v>68</v>
      </c>
      <c r="I432" t="s">
        <v>54</v>
      </c>
      <c r="J432" t="s">
        <v>30</v>
      </c>
      <c r="K432" t="s">
        <v>31</v>
      </c>
      <c r="L432" t="s">
        <v>45</v>
      </c>
      <c r="M432" t="s">
        <v>46</v>
      </c>
      <c r="N432">
        <v>0</v>
      </c>
      <c r="O432" t="s">
        <v>70</v>
      </c>
      <c r="P432" t="s">
        <v>47</v>
      </c>
      <c r="Q432" t="s">
        <v>76</v>
      </c>
      <c r="R432" t="s">
        <v>57</v>
      </c>
      <c r="S432" t="s">
        <v>38</v>
      </c>
      <c r="T432">
        <v>8</v>
      </c>
      <c r="U432">
        <v>72600</v>
      </c>
      <c r="V432">
        <v>0</v>
      </c>
      <c r="W432">
        <v>0</v>
      </c>
      <c r="X432">
        <v>0</v>
      </c>
      <c r="Y432">
        <f>IF(tbl_Incidents[[#This Row],[Lost_Time_Days]]&gt;0, 1, 0)</f>
        <v>0</v>
      </c>
      <c r="Z432" s="1">
        <f>DATE(tbl_Incidents[[#This Row],[Year]], tbl_Incidents[[#This Row],[Month]], 1)</f>
        <v>44958</v>
      </c>
      <c r="AA432" t="str">
        <f t="shared" si="6"/>
        <v>Darwin Port Facility|2023-02</v>
      </c>
    </row>
    <row r="433" spans="1:27" x14ac:dyDescent="0.35">
      <c r="A433" t="s">
        <v>531</v>
      </c>
      <c r="B433" s="1">
        <v>44723</v>
      </c>
      <c r="C433">
        <v>2022</v>
      </c>
      <c r="D433">
        <v>6</v>
      </c>
      <c r="E433" t="s">
        <v>72</v>
      </c>
      <c r="F433" t="s">
        <v>41</v>
      </c>
      <c r="G433" t="s">
        <v>78</v>
      </c>
      <c r="H433" t="s">
        <v>120</v>
      </c>
      <c r="I433" t="s">
        <v>110</v>
      </c>
      <c r="J433" t="s">
        <v>61</v>
      </c>
      <c r="K433" t="s">
        <v>147</v>
      </c>
      <c r="L433" t="s">
        <v>45</v>
      </c>
      <c r="M433" t="s">
        <v>56</v>
      </c>
      <c r="N433">
        <v>3</v>
      </c>
      <c r="O433" t="s">
        <v>75</v>
      </c>
      <c r="P433" t="s">
        <v>35</v>
      </c>
      <c r="Q433" t="s">
        <v>76</v>
      </c>
      <c r="R433" t="s">
        <v>57</v>
      </c>
      <c r="S433" t="s">
        <v>38</v>
      </c>
      <c r="T433">
        <v>11</v>
      </c>
      <c r="U433">
        <v>70497</v>
      </c>
      <c r="V433">
        <v>1</v>
      </c>
      <c r="W433">
        <v>0</v>
      </c>
      <c r="X433">
        <v>0</v>
      </c>
      <c r="Y433">
        <f>IF(tbl_Incidents[[#This Row],[Lost_Time_Days]]&gt;0, 1, 0)</f>
        <v>1</v>
      </c>
      <c r="Z433" s="1">
        <f>DATE(tbl_Incidents[[#This Row],[Year]], tbl_Incidents[[#This Row],[Month]], 1)</f>
        <v>44713</v>
      </c>
      <c r="AA433" t="str">
        <f t="shared" si="6"/>
        <v>Broome Logistics Hub|2022-06</v>
      </c>
    </row>
    <row r="434" spans="1:27" x14ac:dyDescent="0.35">
      <c r="A434" t="s">
        <v>532</v>
      </c>
      <c r="B434" s="1">
        <v>45133</v>
      </c>
      <c r="C434">
        <v>2023</v>
      </c>
      <c r="D434">
        <v>7</v>
      </c>
      <c r="E434" t="s">
        <v>85</v>
      </c>
      <c r="F434" t="s">
        <v>67</v>
      </c>
      <c r="G434" t="s">
        <v>59</v>
      </c>
      <c r="H434" t="s">
        <v>86</v>
      </c>
      <c r="I434" t="s">
        <v>54</v>
      </c>
      <c r="J434" t="s">
        <v>30</v>
      </c>
      <c r="K434" t="s">
        <v>31</v>
      </c>
      <c r="L434" t="s">
        <v>100</v>
      </c>
      <c r="M434" t="s">
        <v>33</v>
      </c>
      <c r="N434">
        <v>0</v>
      </c>
      <c r="O434" t="s">
        <v>75</v>
      </c>
      <c r="P434" t="s">
        <v>47</v>
      </c>
      <c r="Q434" t="s">
        <v>81</v>
      </c>
      <c r="R434" t="s">
        <v>57</v>
      </c>
      <c r="S434" t="s">
        <v>38</v>
      </c>
      <c r="T434">
        <v>8</v>
      </c>
      <c r="U434">
        <v>103609</v>
      </c>
      <c r="V434">
        <v>0</v>
      </c>
      <c r="W434">
        <v>0</v>
      </c>
      <c r="X434">
        <v>0</v>
      </c>
      <c r="Y434">
        <f>IF(tbl_Incidents[[#This Row],[Lost_Time_Days]]&gt;0, 1, 0)</f>
        <v>0</v>
      </c>
      <c r="Z434" s="1">
        <f>DATE(tbl_Incidents[[#This Row],[Year]], tbl_Incidents[[#This Row],[Month]], 1)</f>
        <v>45108</v>
      </c>
      <c r="AA434" t="str">
        <f t="shared" si="6"/>
        <v>Pilbara Crusher Plant|2023-07</v>
      </c>
    </row>
    <row r="435" spans="1:27" x14ac:dyDescent="0.35">
      <c r="A435" t="s">
        <v>533</v>
      </c>
      <c r="B435" s="1">
        <v>45285</v>
      </c>
      <c r="C435">
        <v>2023</v>
      </c>
      <c r="D435">
        <v>12</v>
      </c>
      <c r="E435" t="s">
        <v>123</v>
      </c>
      <c r="F435" t="s">
        <v>26</v>
      </c>
      <c r="G435" t="s">
        <v>59</v>
      </c>
      <c r="H435" t="s">
        <v>43</v>
      </c>
      <c r="I435" t="s">
        <v>110</v>
      </c>
      <c r="J435" t="s">
        <v>61</v>
      </c>
      <c r="K435" t="s">
        <v>31</v>
      </c>
      <c r="L435" t="s">
        <v>100</v>
      </c>
      <c r="M435" t="s">
        <v>46</v>
      </c>
      <c r="N435">
        <v>18</v>
      </c>
      <c r="O435" t="s">
        <v>34</v>
      </c>
      <c r="P435" t="s">
        <v>91</v>
      </c>
      <c r="Q435" t="s">
        <v>81</v>
      </c>
      <c r="R435" t="s">
        <v>49</v>
      </c>
      <c r="S435" t="s">
        <v>38</v>
      </c>
      <c r="T435">
        <v>12</v>
      </c>
      <c r="U435">
        <v>112682</v>
      </c>
      <c r="V435">
        <v>1</v>
      </c>
      <c r="W435">
        <v>0</v>
      </c>
      <c r="X435">
        <v>0</v>
      </c>
      <c r="Y435">
        <f>IF(tbl_Incidents[[#This Row],[Lost_Time_Days]]&gt;0, 1, 0)</f>
        <v>1</v>
      </c>
      <c r="Z435" s="1">
        <f>DATE(tbl_Incidents[[#This Row],[Year]], tbl_Incidents[[#This Row],[Month]], 1)</f>
        <v>45261</v>
      </c>
      <c r="AA435" t="str">
        <f t="shared" si="6"/>
        <v>Pilbara Crusher Plant|2023-12</v>
      </c>
    </row>
    <row r="436" spans="1:27" x14ac:dyDescent="0.35">
      <c r="A436" t="s">
        <v>534</v>
      </c>
      <c r="B436" s="1">
        <v>45105</v>
      </c>
      <c r="C436">
        <v>2023</v>
      </c>
      <c r="D436">
        <v>6</v>
      </c>
      <c r="E436" t="s">
        <v>72</v>
      </c>
      <c r="F436" t="s">
        <v>41</v>
      </c>
      <c r="G436" t="s">
        <v>105</v>
      </c>
      <c r="H436" t="s">
        <v>120</v>
      </c>
      <c r="I436" t="s">
        <v>44</v>
      </c>
      <c r="J436" t="s">
        <v>30</v>
      </c>
      <c r="K436" t="s">
        <v>62</v>
      </c>
      <c r="L436" t="s">
        <v>103</v>
      </c>
      <c r="M436" t="s">
        <v>56</v>
      </c>
      <c r="N436">
        <v>0</v>
      </c>
      <c r="O436" t="s">
        <v>63</v>
      </c>
      <c r="P436" t="s">
        <v>35</v>
      </c>
      <c r="Q436" t="s">
        <v>76</v>
      </c>
      <c r="R436" t="s">
        <v>49</v>
      </c>
      <c r="S436" t="s">
        <v>38</v>
      </c>
      <c r="T436">
        <v>8</v>
      </c>
      <c r="U436">
        <v>87720</v>
      </c>
      <c r="V436">
        <v>0</v>
      </c>
      <c r="W436">
        <v>0</v>
      </c>
      <c r="X436">
        <v>0</v>
      </c>
      <c r="Y436">
        <f>IF(tbl_Incidents[[#This Row],[Lost_Time_Days]]&gt;0, 1, 0)</f>
        <v>0</v>
      </c>
      <c r="Z436" s="1">
        <f>DATE(tbl_Incidents[[#This Row],[Year]], tbl_Incidents[[#This Row],[Month]], 1)</f>
        <v>45078</v>
      </c>
      <c r="AA436" t="str">
        <f t="shared" si="6"/>
        <v>Katherine Processing Site|2023-06</v>
      </c>
    </row>
    <row r="437" spans="1:27" x14ac:dyDescent="0.35">
      <c r="A437" t="s">
        <v>535</v>
      </c>
      <c r="B437" s="1">
        <v>45356</v>
      </c>
      <c r="C437">
        <v>2024</v>
      </c>
      <c r="D437">
        <v>3</v>
      </c>
      <c r="E437" t="s">
        <v>125</v>
      </c>
      <c r="F437" t="s">
        <v>53</v>
      </c>
      <c r="G437" t="s">
        <v>42</v>
      </c>
      <c r="H437" t="s">
        <v>120</v>
      </c>
      <c r="I437" t="s">
        <v>98</v>
      </c>
      <c r="J437" t="s">
        <v>30</v>
      </c>
      <c r="K437" t="s">
        <v>31</v>
      </c>
      <c r="L437" t="s">
        <v>74</v>
      </c>
      <c r="M437" t="s">
        <v>46</v>
      </c>
      <c r="N437">
        <v>0</v>
      </c>
      <c r="O437" t="s">
        <v>90</v>
      </c>
      <c r="P437" t="s">
        <v>47</v>
      </c>
      <c r="Q437" t="s">
        <v>48</v>
      </c>
      <c r="R437" t="s">
        <v>37</v>
      </c>
      <c r="S437" t="s">
        <v>88</v>
      </c>
      <c r="T437">
        <v>12</v>
      </c>
      <c r="U437">
        <v>60202</v>
      </c>
      <c r="V437">
        <v>0</v>
      </c>
      <c r="W437">
        <v>0</v>
      </c>
      <c r="X437">
        <v>0</v>
      </c>
      <c r="Y437">
        <f>IF(tbl_Incidents[[#This Row],[Lost_Time_Days]]&gt;0, 1, 0)</f>
        <v>0</v>
      </c>
      <c r="Z437" s="1">
        <f>DATE(tbl_Incidents[[#This Row],[Year]], tbl_Incidents[[#This Row],[Month]], 1)</f>
        <v>45352</v>
      </c>
      <c r="AA437" t="str">
        <f t="shared" si="6"/>
        <v>Darwin Port Facility|2024-03</v>
      </c>
    </row>
    <row r="438" spans="1:27" x14ac:dyDescent="0.35">
      <c r="A438" t="s">
        <v>536</v>
      </c>
      <c r="B438" s="1">
        <v>45189</v>
      </c>
      <c r="C438">
        <v>2023</v>
      </c>
      <c r="D438">
        <v>9</v>
      </c>
      <c r="E438" t="s">
        <v>97</v>
      </c>
      <c r="F438" t="s">
        <v>67</v>
      </c>
      <c r="G438" t="s">
        <v>59</v>
      </c>
      <c r="H438" t="s">
        <v>86</v>
      </c>
      <c r="I438" t="s">
        <v>60</v>
      </c>
      <c r="J438" t="s">
        <v>61</v>
      </c>
      <c r="K438" t="s">
        <v>117</v>
      </c>
      <c r="L438" t="s">
        <v>74</v>
      </c>
      <c r="M438" t="s">
        <v>33</v>
      </c>
      <c r="N438">
        <v>0</v>
      </c>
      <c r="O438" t="s">
        <v>90</v>
      </c>
      <c r="P438" t="s">
        <v>35</v>
      </c>
      <c r="Q438" t="s">
        <v>36</v>
      </c>
      <c r="R438" t="s">
        <v>57</v>
      </c>
      <c r="S438" t="s">
        <v>38</v>
      </c>
      <c r="T438">
        <v>8</v>
      </c>
      <c r="U438">
        <v>66486</v>
      </c>
      <c r="V438">
        <v>1</v>
      </c>
      <c r="W438">
        <v>0</v>
      </c>
      <c r="X438">
        <v>0</v>
      </c>
      <c r="Y438">
        <f>IF(tbl_Incidents[[#This Row],[Lost_Time_Days]]&gt;0, 1, 0)</f>
        <v>0</v>
      </c>
      <c r="Z438" s="1">
        <f>DATE(tbl_Incidents[[#This Row],[Year]], tbl_Incidents[[#This Row],[Month]], 1)</f>
        <v>45170</v>
      </c>
      <c r="AA438" t="str">
        <f t="shared" si="6"/>
        <v>Pilbara Crusher Plant|2023-09</v>
      </c>
    </row>
    <row r="439" spans="1:27" x14ac:dyDescent="0.35">
      <c r="A439" t="s">
        <v>537</v>
      </c>
      <c r="B439" s="1">
        <v>44671</v>
      </c>
      <c r="C439">
        <v>2022</v>
      </c>
      <c r="D439">
        <v>4</v>
      </c>
      <c r="E439" t="s">
        <v>40</v>
      </c>
      <c r="F439" t="s">
        <v>41</v>
      </c>
      <c r="G439" t="s">
        <v>27</v>
      </c>
      <c r="H439" t="s">
        <v>68</v>
      </c>
      <c r="I439" t="s">
        <v>110</v>
      </c>
      <c r="J439" t="s">
        <v>61</v>
      </c>
      <c r="K439" t="s">
        <v>31</v>
      </c>
      <c r="L439" t="s">
        <v>55</v>
      </c>
      <c r="M439" t="s">
        <v>46</v>
      </c>
      <c r="N439">
        <v>7</v>
      </c>
      <c r="O439" t="s">
        <v>63</v>
      </c>
      <c r="P439" t="s">
        <v>91</v>
      </c>
      <c r="Q439" t="s">
        <v>36</v>
      </c>
      <c r="R439" t="s">
        <v>57</v>
      </c>
      <c r="S439" t="s">
        <v>38</v>
      </c>
      <c r="T439">
        <v>12</v>
      </c>
      <c r="U439">
        <v>49289</v>
      </c>
      <c r="V439">
        <v>1</v>
      </c>
      <c r="W439">
        <v>0</v>
      </c>
      <c r="X439">
        <v>0</v>
      </c>
      <c r="Y439">
        <f>IF(tbl_Incidents[[#This Row],[Lost_Time_Days]]&gt;0, 1, 0)</f>
        <v>1</v>
      </c>
      <c r="Z439" s="1">
        <f>DATE(tbl_Incidents[[#This Row],[Year]], tbl_Incidents[[#This Row],[Month]], 1)</f>
        <v>44652</v>
      </c>
      <c r="AA439" t="str">
        <f t="shared" si="6"/>
        <v>Thunderbird Mine|2022-04</v>
      </c>
    </row>
    <row r="440" spans="1:27" x14ac:dyDescent="0.35">
      <c r="A440" t="s">
        <v>538</v>
      </c>
      <c r="B440" s="1">
        <v>44775</v>
      </c>
      <c r="C440">
        <v>2022</v>
      </c>
      <c r="D440">
        <v>8</v>
      </c>
      <c r="E440" t="s">
        <v>66</v>
      </c>
      <c r="F440" t="s">
        <v>67</v>
      </c>
      <c r="G440" t="s">
        <v>105</v>
      </c>
      <c r="H440" t="s">
        <v>68</v>
      </c>
      <c r="I440" t="s">
        <v>79</v>
      </c>
      <c r="J440" t="s">
        <v>30</v>
      </c>
      <c r="K440" t="s">
        <v>31</v>
      </c>
      <c r="L440" t="s">
        <v>83</v>
      </c>
      <c r="M440" t="s">
        <v>46</v>
      </c>
      <c r="N440">
        <v>0</v>
      </c>
      <c r="O440" t="s">
        <v>34</v>
      </c>
      <c r="P440" t="s">
        <v>91</v>
      </c>
      <c r="Q440" t="s">
        <v>76</v>
      </c>
      <c r="R440" t="s">
        <v>49</v>
      </c>
      <c r="S440" t="s">
        <v>38</v>
      </c>
      <c r="T440">
        <v>8</v>
      </c>
      <c r="U440">
        <v>74840</v>
      </c>
      <c r="V440">
        <v>0</v>
      </c>
      <c r="W440">
        <v>0</v>
      </c>
      <c r="X440">
        <v>0</v>
      </c>
      <c r="Y440">
        <f>IF(tbl_Incidents[[#This Row],[Lost_Time_Days]]&gt;0, 1, 0)</f>
        <v>0</v>
      </c>
      <c r="Z440" s="1">
        <f>DATE(tbl_Incidents[[#This Row],[Year]], tbl_Incidents[[#This Row],[Month]], 1)</f>
        <v>44774</v>
      </c>
      <c r="AA440" t="str">
        <f t="shared" si="6"/>
        <v>Katherine Processing Site|2022-08</v>
      </c>
    </row>
    <row r="441" spans="1:27" x14ac:dyDescent="0.35">
      <c r="A441" t="s">
        <v>539</v>
      </c>
      <c r="B441" s="1">
        <v>45103</v>
      </c>
      <c r="C441">
        <v>2023</v>
      </c>
      <c r="D441">
        <v>6</v>
      </c>
      <c r="E441" t="s">
        <v>72</v>
      </c>
      <c r="F441" t="s">
        <v>41</v>
      </c>
      <c r="G441" t="s">
        <v>27</v>
      </c>
      <c r="H441" t="s">
        <v>120</v>
      </c>
      <c r="I441" t="s">
        <v>29</v>
      </c>
      <c r="J441" t="s">
        <v>30</v>
      </c>
      <c r="K441" t="s">
        <v>31</v>
      </c>
      <c r="L441" t="s">
        <v>74</v>
      </c>
      <c r="M441" t="s">
        <v>33</v>
      </c>
      <c r="N441">
        <v>0</v>
      </c>
      <c r="O441" t="s">
        <v>90</v>
      </c>
      <c r="P441" t="s">
        <v>35</v>
      </c>
      <c r="Q441" t="s">
        <v>36</v>
      </c>
      <c r="R441" t="s">
        <v>57</v>
      </c>
      <c r="S441" t="s">
        <v>50</v>
      </c>
      <c r="T441">
        <v>11</v>
      </c>
      <c r="U441">
        <v>64832</v>
      </c>
      <c r="V441">
        <v>0</v>
      </c>
      <c r="W441">
        <v>0</v>
      </c>
      <c r="X441">
        <v>0</v>
      </c>
      <c r="Y441">
        <f>IF(tbl_Incidents[[#This Row],[Lost_Time_Days]]&gt;0, 1, 0)</f>
        <v>0</v>
      </c>
      <c r="Z441" s="1">
        <f>DATE(tbl_Incidents[[#This Row],[Year]], tbl_Incidents[[#This Row],[Month]], 1)</f>
        <v>45078</v>
      </c>
      <c r="AA441" t="str">
        <f t="shared" si="6"/>
        <v>Thunderbird Mine|2023-06</v>
      </c>
    </row>
    <row r="442" spans="1:27" x14ac:dyDescent="0.35">
      <c r="A442" t="s">
        <v>540</v>
      </c>
      <c r="B442" s="1">
        <v>45234</v>
      </c>
      <c r="C442">
        <v>2023</v>
      </c>
      <c r="D442">
        <v>11</v>
      </c>
      <c r="E442" t="s">
        <v>107</v>
      </c>
      <c r="F442" t="s">
        <v>26</v>
      </c>
      <c r="G442" t="s">
        <v>78</v>
      </c>
      <c r="H442" t="s">
        <v>28</v>
      </c>
      <c r="I442" t="s">
        <v>44</v>
      </c>
      <c r="J442" t="s">
        <v>30</v>
      </c>
      <c r="K442" t="s">
        <v>112</v>
      </c>
      <c r="L442" t="s">
        <v>103</v>
      </c>
      <c r="M442" t="s">
        <v>46</v>
      </c>
      <c r="N442">
        <v>0</v>
      </c>
      <c r="O442" t="s">
        <v>90</v>
      </c>
      <c r="P442" t="s">
        <v>47</v>
      </c>
      <c r="Q442" t="s">
        <v>36</v>
      </c>
      <c r="R442" t="s">
        <v>37</v>
      </c>
      <c r="S442" t="s">
        <v>38</v>
      </c>
      <c r="T442">
        <v>11</v>
      </c>
      <c r="U442">
        <v>95977</v>
      </c>
      <c r="V442">
        <v>0</v>
      </c>
      <c r="W442">
        <v>0</v>
      </c>
      <c r="X442">
        <v>0</v>
      </c>
      <c r="Y442">
        <f>IF(tbl_Incidents[[#This Row],[Lost_Time_Days]]&gt;0, 1, 0)</f>
        <v>0</v>
      </c>
      <c r="Z442" s="1">
        <f>DATE(tbl_Incidents[[#This Row],[Year]], tbl_Incidents[[#This Row],[Month]], 1)</f>
        <v>45231</v>
      </c>
      <c r="AA442" t="str">
        <f t="shared" si="6"/>
        <v>Broome Logistics Hub|2023-11</v>
      </c>
    </row>
    <row r="443" spans="1:27" x14ac:dyDescent="0.35">
      <c r="A443" t="s">
        <v>541</v>
      </c>
      <c r="B443" s="1">
        <v>44668</v>
      </c>
      <c r="C443">
        <v>2022</v>
      </c>
      <c r="D443">
        <v>4</v>
      </c>
      <c r="E443" t="s">
        <v>40</v>
      </c>
      <c r="F443" t="s">
        <v>41</v>
      </c>
      <c r="G443" t="s">
        <v>42</v>
      </c>
      <c r="H443" t="s">
        <v>43</v>
      </c>
      <c r="I443" t="s">
        <v>44</v>
      </c>
      <c r="J443" t="s">
        <v>30</v>
      </c>
      <c r="K443" t="s">
        <v>139</v>
      </c>
      <c r="L443" t="s">
        <v>103</v>
      </c>
      <c r="M443" t="s">
        <v>56</v>
      </c>
      <c r="N443">
        <v>0</v>
      </c>
      <c r="O443" t="s">
        <v>75</v>
      </c>
      <c r="P443" t="s">
        <v>35</v>
      </c>
      <c r="Q443" t="s">
        <v>76</v>
      </c>
      <c r="R443" t="s">
        <v>37</v>
      </c>
      <c r="S443" t="s">
        <v>88</v>
      </c>
      <c r="T443">
        <v>10</v>
      </c>
      <c r="U443">
        <v>81307</v>
      </c>
      <c r="V443">
        <v>0</v>
      </c>
      <c r="W443">
        <v>0</v>
      </c>
      <c r="X443">
        <v>0</v>
      </c>
      <c r="Y443">
        <f>IF(tbl_Incidents[[#This Row],[Lost_Time_Days]]&gt;0, 1, 0)</f>
        <v>0</v>
      </c>
      <c r="Z443" s="1">
        <f>DATE(tbl_Incidents[[#This Row],[Year]], tbl_Incidents[[#This Row],[Month]], 1)</f>
        <v>44652</v>
      </c>
      <c r="AA443" t="str">
        <f t="shared" si="6"/>
        <v>Darwin Port Facility|2022-04</v>
      </c>
    </row>
    <row r="444" spans="1:27" x14ac:dyDescent="0.35">
      <c r="A444" t="s">
        <v>542</v>
      </c>
      <c r="B444" s="1">
        <v>45125</v>
      </c>
      <c r="C444">
        <v>2023</v>
      </c>
      <c r="D444">
        <v>7</v>
      </c>
      <c r="E444" t="s">
        <v>85</v>
      </c>
      <c r="F444" t="s">
        <v>67</v>
      </c>
      <c r="G444" t="s">
        <v>59</v>
      </c>
      <c r="H444" t="s">
        <v>86</v>
      </c>
      <c r="I444" t="s">
        <v>60</v>
      </c>
      <c r="J444" t="s">
        <v>61</v>
      </c>
      <c r="K444" t="s">
        <v>139</v>
      </c>
      <c r="L444" t="s">
        <v>80</v>
      </c>
      <c r="M444" t="s">
        <v>46</v>
      </c>
      <c r="N444">
        <v>0</v>
      </c>
      <c r="O444" t="s">
        <v>34</v>
      </c>
      <c r="P444" t="s">
        <v>35</v>
      </c>
      <c r="Q444" t="s">
        <v>64</v>
      </c>
      <c r="R444" t="s">
        <v>37</v>
      </c>
      <c r="S444" t="s">
        <v>38</v>
      </c>
      <c r="T444">
        <v>10</v>
      </c>
      <c r="U444">
        <v>99297</v>
      </c>
      <c r="V444">
        <v>1</v>
      </c>
      <c r="W444">
        <v>0</v>
      </c>
      <c r="X444">
        <v>0</v>
      </c>
      <c r="Y444">
        <f>IF(tbl_Incidents[[#This Row],[Lost_Time_Days]]&gt;0, 1, 0)</f>
        <v>0</v>
      </c>
      <c r="Z444" s="1">
        <f>DATE(tbl_Incidents[[#This Row],[Year]], tbl_Incidents[[#This Row],[Month]], 1)</f>
        <v>45108</v>
      </c>
      <c r="AA444" t="str">
        <f t="shared" si="6"/>
        <v>Pilbara Crusher Plant|2023-07</v>
      </c>
    </row>
    <row r="445" spans="1:27" x14ac:dyDescent="0.35">
      <c r="A445" t="s">
        <v>543</v>
      </c>
      <c r="B445" s="1">
        <v>45020</v>
      </c>
      <c r="C445">
        <v>2023</v>
      </c>
      <c r="D445">
        <v>4</v>
      </c>
      <c r="E445" t="s">
        <v>40</v>
      </c>
      <c r="F445" t="s">
        <v>41</v>
      </c>
      <c r="G445" t="s">
        <v>27</v>
      </c>
      <c r="H445" t="s">
        <v>120</v>
      </c>
      <c r="I445" t="s">
        <v>110</v>
      </c>
      <c r="J445" t="s">
        <v>61</v>
      </c>
      <c r="K445" t="s">
        <v>31</v>
      </c>
      <c r="L445" t="s">
        <v>45</v>
      </c>
      <c r="M445" t="s">
        <v>46</v>
      </c>
      <c r="N445">
        <v>1</v>
      </c>
      <c r="O445" t="s">
        <v>34</v>
      </c>
      <c r="P445" t="s">
        <v>91</v>
      </c>
      <c r="Q445" t="s">
        <v>36</v>
      </c>
      <c r="R445" t="s">
        <v>57</v>
      </c>
      <c r="S445" t="s">
        <v>38</v>
      </c>
      <c r="T445">
        <v>9</v>
      </c>
      <c r="U445">
        <v>81275</v>
      </c>
      <c r="V445">
        <v>1</v>
      </c>
      <c r="W445">
        <v>0</v>
      </c>
      <c r="X445">
        <v>0</v>
      </c>
      <c r="Y445">
        <f>IF(tbl_Incidents[[#This Row],[Lost_Time_Days]]&gt;0, 1, 0)</f>
        <v>1</v>
      </c>
      <c r="Z445" s="1">
        <f>DATE(tbl_Incidents[[#This Row],[Year]], tbl_Incidents[[#This Row],[Month]], 1)</f>
        <v>45017</v>
      </c>
      <c r="AA445" t="str">
        <f t="shared" si="6"/>
        <v>Thunderbird Mine|2023-04</v>
      </c>
    </row>
    <row r="446" spans="1:27" x14ac:dyDescent="0.35">
      <c r="A446" t="s">
        <v>544</v>
      </c>
      <c r="B446" s="1">
        <v>45403</v>
      </c>
      <c r="C446">
        <v>2024</v>
      </c>
      <c r="D446">
        <v>4</v>
      </c>
      <c r="E446" t="s">
        <v>40</v>
      </c>
      <c r="F446" t="s">
        <v>41</v>
      </c>
      <c r="G446" t="s">
        <v>59</v>
      </c>
      <c r="H446" t="s">
        <v>43</v>
      </c>
      <c r="I446" t="s">
        <v>79</v>
      </c>
      <c r="J446" t="s">
        <v>30</v>
      </c>
      <c r="K446" t="s">
        <v>31</v>
      </c>
      <c r="L446" t="s">
        <v>103</v>
      </c>
      <c r="M446" t="s">
        <v>46</v>
      </c>
      <c r="N446">
        <v>0</v>
      </c>
      <c r="O446" t="s">
        <v>90</v>
      </c>
      <c r="P446" t="s">
        <v>35</v>
      </c>
      <c r="Q446" t="s">
        <v>36</v>
      </c>
      <c r="R446" t="s">
        <v>57</v>
      </c>
      <c r="S446" t="s">
        <v>88</v>
      </c>
      <c r="T446">
        <v>10</v>
      </c>
      <c r="U446">
        <v>60461</v>
      </c>
      <c r="V446">
        <v>0</v>
      </c>
      <c r="W446">
        <v>0</v>
      </c>
      <c r="X446">
        <v>0</v>
      </c>
      <c r="Y446">
        <f>IF(tbl_Incidents[[#This Row],[Lost_Time_Days]]&gt;0, 1, 0)</f>
        <v>0</v>
      </c>
      <c r="Z446" s="1">
        <f>DATE(tbl_Incidents[[#This Row],[Year]], tbl_Incidents[[#This Row],[Month]], 1)</f>
        <v>45383</v>
      </c>
      <c r="AA446" t="str">
        <f t="shared" si="6"/>
        <v>Pilbara Crusher Plant|2024-04</v>
      </c>
    </row>
    <row r="447" spans="1:27" x14ac:dyDescent="0.35">
      <c r="A447" t="s">
        <v>545</v>
      </c>
      <c r="B447" s="1">
        <v>44703</v>
      </c>
      <c r="C447">
        <v>2022</v>
      </c>
      <c r="D447">
        <v>5</v>
      </c>
      <c r="E447" t="s">
        <v>109</v>
      </c>
      <c r="F447" t="s">
        <v>41</v>
      </c>
      <c r="G447" t="s">
        <v>59</v>
      </c>
      <c r="H447" t="s">
        <v>43</v>
      </c>
      <c r="I447" t="s">
        <v>60</v>
      </c>
      <c r="J447" t="s">
        <v>61</v>
      </c>
      <c r="K447" t="s">
        <v>69</v>
      </c>
      <c r="L447" t="s">
        <v>100</v>
      </c>
      <c r="M447" t="s">
        <v>56</v>
      </c>
      <c r="N447">
        <v>0</v>
      </c>
      <c r="O447" t="s">
        <v>70</v>
      </c>
      <c r="P447" t="s">
        <v>91</v>
      </c>
      <c r="Q447" t="s">
        <v>36</v>
      </c>
      <c r="R447" t="s">
        <v>37</v>
      </c>
      <c r="S447" t="s">
        <v>88</v>
      </c>
      <c r="T447">
        <v>12</v>
      </c>
      <c r="U447">
        <v>68499</v>
      </c>
      <c r="V447">
        <v>1</v>
      </c>
      <c r="W447">
        <v>0</v>
      </c>
      <c r="X447">
        <v>0</v>
      </c>
      <c r="Y447">
        <f>IF(tbl_Incidents[[#This Row],[Lost_Time_Days]]&gt;0, 1, 0)</f>
        <v>0</v>
      </c>
      <c r="Z447" s="1">
        <f>DATE(tbl_Incidents[[#This Row],[Year]], tbl_Incidents[[#This Row],[Month]], 1)</f>
        <v>44682</v>
      </c>
      <c r="AA447" t="str">
        <f t="shared" si="6"/>
        <v>Pilbara Crusher Plant|2022-05</v>
      </c>
    </row>
    <row r="448" spans="1:27" x14ac:dyDescent="0.35">
      <c r="A448" t="s">
        <v>546</v>
      </c>
      <c r="B448" s="1">
        <v>45313</v>
      </c>
      <c r="C448">
        <v>2024</v>
      </c>
      <c r="D448">
        <v>1</v>
      </c>
      <c r="E448" t="s">
        <v>129</v>
      </c>
      <c r="F448" t="s">
        <v>53</v>
      </c>
      <c r="G448" t="s">
        <v>59</v>
      </c>
      <c r="H448" t="s">
        <v>86</v>
      </c>
      <c r="I448" t="s">
        <v>29</v>
      </c>
      <c r="J448" t="s">
        <v>30</v>
      </c>
      <c r="K448" t="s">
        <v>31</v>
      </c>
      <c r="L448" t="s">
        <v>93</v>
      </c>
      <c r="M448" t="s">
        <v>56</v>
      </c>
      <c r="N448">
        <v>0</v>
      </c>
      <c r="O448" t="s">
        <v>70</v>
      </c>
      <c r="P448" t="s">
        <v>35</v>
      </c>
      <c r="Q448" t="s">
        <v>76</v>
      </c>
      <c r="R448" t="s">
        <v>57</v>
      </c>
      <c r="S448" t="s">
        <v>38</v>
      </c>
      <c r="T448">
        <v>12</v>
      </c>
      <c r="U448">
        <v>90010</v>
      </c>
      <c r="V448">
        <v>0</v>
      </c>
      <c r="W448">
        <v>0</v>
      </c>
      <c r="X448">
        <v>0</v>
      </c>
      <c r="Y448">
        <f>IF(tbl_Incidents[[#This Row],[Lost_Time_Days]]&gt;0, 1, 0)</f>
        <v>0</v>
      </c>
      <c r="Z448" s="1">
        <f>DATE(tbl_Incidents[[#This Row],[Year]], tbl_Incidents[[#This Row],[Month]], 1)</f>
        <v>45292</v>
      </c>
      <c r="AA448" t="str">
        <f t="shared" si="6"/>
        <v>Pilbara Crusher Plant|2024-01</v>
      </c>
    </row>
    <row r="449" spans="1:27" x14ac:dyDescent="0.35">
      <c r="A449" t="s">
        <v>547</v>
      </c>
      <c r="B449" s="1">
        <v>44619</v>
      </c>
      <c r="C449">
        <v>2022</v>
      </c>
      <c r="D449">
        <v>2</v>
      </c>
      <c r="E449" t="s">
        <v>52</v>
      </c>
      <c r="F449" t="s">
        <v>53</v>
      </c>
      <c r="G449" t="s">
        <v>59</v>
      </c>
      <c r="H449" t="s">
        <v>120</v>
      </c>
      <c r="I449" t="s">
        <v>54</v>
      </c>
      <c r="J449" t="s">
        <v>30</v>
      </c>
      <c r="K449" t="s">
        <v>31</v>
      </c>
      <c r="L449" t="s">
        <v>55</v>
      </c>
      <c r="M449" t="s">
        <v>56</v>
      </c>
      <c r="N449">
        <v>0</v>
      </c>
      <c r="O449" t="s">
        <v>70</v>
      </c>
      <c r="P449" t="s">
        <v>35</v>
      </c>
      <c r="Q449" t="s">
        <v>48</v>
      </c>
      <c r="R449" t="s">
        <v>37</v>
      </c>
      <c r="S449" t="s">
        <v>38</v>
      </c>
      <c r="T449">
        <v>11</v>
      </c>
      <c r="U449">
        <v>47094</v>
      </c>
      <c r="V449">
        <v>0</v>
      </c>
      <c r="W449">
        <v>0</v>
      </c>
      <c r="X449">
        <v>0</v>
      </c>
      <c r="Y449">
        <f>IF(tbl_Incidents[[#This Row],[Lost_Time_Days]]&gt;0, 1, 0)</f>
        <v>0</v>
      </c>
      <c r="Z449" s="1">
        <f>DATE(tbl_Incidents[[#This Row],[Year]], tbl_Incidents[[#This Row],[Month]], 1)</f>
        <v>44593</v>
      </c>
      <c r="AA449" t="str">
        <f t="shared" si="6"/>
        <v>Pilbara Crusher Plant|2022-02</v>
      </c>
    </row>
    <row r="450" spans="1:27" x14ac:dyDescent="0.35">
      <c r="A450" t="s">
        <v>548</v>
      </c>
      <c r="B450" s="1">
        <v>44874</v>
      </c>
      <c r="C450">
        <v>2022</v>
      </c>
      <c r="D450">
        <v>11</v>
      </c>
      <c r="E450" t="s">
        <v>107</v>
      </c>
      <c r="F450" t="s">
        <v>26</v>
      </c>
      <c r="G450" t="s">
        <v>27</v>
      </c>
      <c r="H450" t="s">
        <v>120</v>
      </c>
      <c r="I450" t="s">
        <v>98</v>
      </c>
      <c r="J450" t="s">
        <v>30</v>
      </c>
      <c r="K450" t="s">
        <v>31</v>
      </c>
      <c r="L450" t="s">
        <v>103</v>
      </c>
      <c r="M450" t="s">
        <v>46</v>
      </c>
      <c r="N450">
        <v>0</v>
      </c>
      <c r="O450" t="s">
        <v>34</v>
      </c>
      <c r="P450" t="s">
        <v>91</v>
      </c>
      <c r="Q450" t="s">
        <v>76</v>
      </c>
      <c r="R450" t="s">
        <v>57</v>
      </c>
      <c r="S450" t="s">
        <v>38</v>
      </c>
      <c r="T450">
        <v>8</v>
      </c>
      <c r="U450">
        <v>91495</v>
      </c>
      <c r="V450">
        <v>0</v>
      </c>
      <c r="W450">
        <v>0</v>
      </c>
      <c r="X450">
        <v>0</v>
      </c>
      <c r="Y450">
        <f>IF(tbl_Incidents[[#This Row],[Lost_Time_Days]]&gt;0, 1, 0)</f>
        <v>0</v>
      </c>
      <c r="Z450" s="1">
        <f>DATE(tbl_Incidents[[#This Row],[Year]], tbl_Incidents[[#This Row],[Month]], 1)</f>
        <v>44866</v>
      </c>
      <c r="AA450" t="str">
        <f t="shared" ref="AA450:AA501" si="7">G450&amp;"|"&amp;TEXT(Z450,"yyyy-mm")</f>
        <v>Thunderbird Mine|2022-11</v>
      </c>
    </row>
    <row r="451" spans="1:27" x14ac:dyDescent="0.35">
      <c r="A451" t="s">
        <v>549</v>
      </c>
      <c r="B451" s="1">
        <v>45018</v>
      </c>
      <c r="C451">
        <v>2023</v>
      </c>
      <c r="D451">
        <v>4</v>
      </c>
      <c r="E451" t="s">
        <v>40</v>
      </c>
      <c r="F451" t="s">
        <v>41</v>
      </c>
      <c r="G451" t="s">
        <v>78</v>
      </c>
      <c r="H451" t="s">
        <v>43</v>
      </c>
      <c r="I451" t="s">
        <v>54</v>
      </c>
      <c r="J451" t="s">
        <v>30</v>
      </c>
      <c r="K451" t="s">
        <v>31</v>
      </c>
      <c r="L451" t="s">
        <v>103</v>
      </c>
      <c r="M451" t="s">
        <v>33</v>
      </c>
      <c r="N451">
        <v>0</v>
      </c>
      <c r="O451" t="s">
        <v>34</v>
      </c>
      <c r="P451" t="s">
        <v>47</v>
      </c>
      <c r="Q451" t="s">
        <v>81</v>
      </c>
      <c r="R451" t="s">
        <v>49</v>
      </c>
      <c r="S451" t="s">
        <v>38</v>
      </c>
      <c r="T451">
        <v>9</v>
      </c>
      <c r="U451">
        <v>84062</v>
      </c>
      <c r="V451">
        <v>0</v>
      </c>
      <c r="W451">
        <v>0</v>
      </c>
      <c r="X451">
        <v>0</v>
      </c>
      <c r="Y451">
        <f>IF(tbl_Incidents[[#This Row],[Lost_Time_Days]]&gt;0, 1, 0)</f>
        <v>0</v>
      </c>
      <c r="Z451" s="1">
        <f>DATE(tbl_Incidents[[#This Row],[Year]], tbl_Incidents[[#This Row],[Month]], 1)</f>
        <v>45017</v>
      </c>
      <c r="AA451" t="str">
        <f t="shared" si="7"/>
        <v>Broome Logistics Hub|2023-04</v>
      </c>
    </row>
    <row r="452" spans="1:27" x14ac:dyDescent="0.35">
      <c r="A452" t="s">
        <v>550</v>
      </c>
      <c r="B452" s="1">
        <v>44646</v>
      </c>
      <c r="C452">
        <v>2022</v>
      </c>
      <c r="D452">
        <v>3</v>
      </c>
      <c r="E452" t="s">
        <v>125</v>
      </c>
      <c r="F452" t="s">
        <v>53</v>
      </c>
      <c r="G452" t="s">
        <v>27</v>
      </c>
      <c r="H452" t="s">
        <v>43</v>
      </c>
      <c r="I452" t="s">
        <v>110</v>
      </c>
      <c r="J452" t="s">
        <v>61</v>
      </c>
      <c r="K452" t="s">
        <v>139</v>
      </c>
      <c r="L452" t="s">
        <v>32</v>
      </c>
      <c r="M452" t="s">
        <v>33</v>
      </c>
      <c r="N452">
        <v>19</v>
      </c>
      <c r="O452" t="s">
        <v>63</v>
      </c>
      <c r="P452" t="s">
        <v>47</v>
      </c>
      <c r="Q452" t="s">
        <v>48</v>
      </c>
      <c r="R452" t="s">
        <v>57</v>
      </c>
      <c r="S452" t="s">
        <v>88</v>
      </c>
      <c r="T452">
        <v>12</v>
      </c>
      <c r="U452">
        <v>65966</v>
      </c>
      <c r="V452">
        <v>1</v>
      </c>
      <c r="W452">
        <v>0</v>
      </c>
      <c r="X452">
        <v>0</v>
      </c>
      <c r="Y452">
        <f>IF(tbl_Incidents[[#This Row],[Lost_Time_Days]]&gt;0, 1, 0)</f>
        <v>1</v>
      </c>
      <c r="Z452" s="1">
        <f>DATE(tbl_Incidents[[#This Row],[Year]], tbl_Incidents[[#This Row],[Month]], 1)</f>
        <v>44621</v>
      </c>
      <c r="AA452" t="str">
        <f t="shared" si="7"/>
        <v>Thunderbird Mine|2022-03</v>
      </c>
    </row>
    <row r="453" spans="1:27" x14ac:dyDescent="0.35">
      <c r="A453" t="s">
        <v>551</v>
      </c>
      <c r="B453" s="1">
        <v>45229</v>
      </c>
      <c r="C453">
        <v>2023</v>
      </c>
      <c r="D453">
        <v>10</v>
      </c>
      <c r="E453" t="s">
        <v>25</v>
      </c>
      <c r="F453" t="s">
        <v>26</v>
      </c>
      <c r="G453" t="s">
        <v>42</v>
      </c>
      <c r="H453" t="s">
        <v>43</v>
      </c>
      <c r="I453" t="s">
        <v>98</v>
      </c>
      <c r="J453" t="s">
        <v>30</v>
      </c>
      <c r="K453" t="s">
        <v>31</v>
      </c>
      <c r="L453" t="s">
        <v>95</v>
      </c>
      <c r="M453" t="s">
        <v>46</v>
      </c>
      <c r="N453">
        <v>0</v>
      </c>
      <c r="O453" t="s">
        <v>90</v>
      </c>
      <c r="P453" t="s">
        <v>35</v>
      </c>
      <c r="Q453" t="s">
        <v>48</v>
      </c>
      <c r="R453" t="s">
        <v>57</v>
      </c>
      <c r="S453" t="s">
        <v>38</v>
      </c>
      <c r="T453">
        <v>11</v>
      </c>
      <c r="U453">
        <v>82390</v>
      </c>
      <c r="V453">
        <v>0</v>
      </c>
      <c r="W453">
        <v>0</v>
      </c>
      <c r="X453">
        <v>0</v>
      </c>
      <c r="Y453">
        <f>IF(tbl_Incidents[[#This Row],[Lost_Time_Days]]&gt;0, 1, 0)</f>
        <v>0</v>
      </c>
      <c r="Z453" s="1">
        <f>DATE(tbl_Incidents[[#This Row],[Year]], tbl_Incidents[[#This Row],[Month]], 1)</f>
        <v>45200</v>
      </c>
      <c r="AA453" t="str">
        <f t="shared" si="7"/>
        <v>Darwin Port Facility|2023-10</v>
      </c>
    </row>
    <row r="454" spans="1:27" x14ac:dyDescent="0.35">
      <c r="A454" t="s">
        <v>552</v>
      </c>
      <c r="B454" s="1">
        <v>45263</v>
      </c>
      <c r="C454">
        <v>2023</v>
      </c>
      <c r="D454">
        <v>12</v>
      </c>
      <c r="E454" t="s">
        <v>123</v>
      </c>
      <c r="F454" t="s">
        <v>26</v>
      </c>
      <c r="G454" t="s">
        <v>27</v>
      </c>
      <c r="H454" t="s">
        <v>68</v>
      </c>
      <c r="I454" t="s">
        <v>98</v>
      </c>
      <c r="J454" t="s">
        <v>30</v>
      </c>
      <c r="K454" t="s">
        <v>31</v>
      </c>
      <c r="L454" t="s">
        <v>55</v>
      </c>
      <c r="M454" t="s">
        <v>56</v>
      </c>
      <c r="N454">
        <v>0</v>
      </c>
      <c r="O454" t="s">
        <v>34</v>
      </c>
      <c r="P454" t="s">
        <v>91</v>
      </c>
      <c r="Q454" t="s">
        <v>48</v>
      </c>
      <c r="R454" t="s">
        <v>57</v>
      </c>
      <c r="S454" t="s">
        <v>38</v>
      </c>
      <c r="T454">
        <v>12</v>
      </c>
      <c r="U454">
        <v>43172</v>
      </c>
      <c r="V454">
        <v>0</v>
      </c>
      <c r="W454">
        <v>0</v>
      </c>
      <c r="X454">
        <v>0</v>
      </c>
      <c r="Y454">
        <f>IF(tbl_Incidents[[#This Row],[Lost_Time_Days]]&gt;0, 1, 0)</f>
        <v>0</v>
      </c>
      <c r="Z454" s="1">
        <f>DATE(tbl_Incidents[[#This Row],[Year]], tbl_Incidents[[#This Row],[Month]], 1)</f>
        <v>45261</v>
      </c>
      <c r="AA454" t="str">
        <f t="shared" si="7"/>
        <v>Thunderbird Mine|2023-12</v>
      </c>
    </row>
    <row r="455" spans="1:27" x14ac:dyDescent="0.35">
      <c r="A455" t="s">
        <v>553</v>
      </c>
      <c r="B455" s="1">
        <v>45350</v>
      </c>
      <c r="C455">
        <v>2024</v>
      </c>
      <c r="D455">
        <v>2</v>
      </c>
      <c r="E455" t="s">
        <v>52</v>
      </c>
      <c r="F455" t="s">
        <v>53</v>
      </c>
      <c r="G455" t="s">
        <v>42</v>
      </c>
      <c r="H455" t="s">
        <v>120</v>
      </c>
      <c r="I455" t="s">
        <v>60</v>
      </c>
      <c r="J455" t="s">
        <v>61</v>
      </c>
      <c r="K455" t="s">
        <v>31</v>
      </c>
      <c r="L455" t="s">
        <v>83</v>
      </c>
      <c r="M455" t="s">
        <v>46</v>
      </c>
      <c r="N455">
        <v>0</v>
      </c>
      <c r="O455" t="s">
        <v>34</v>
      </c>
      <c r="P455" t="s">
        <v>47</v>
      </c>
      <c r="Q455" t="s">
        <v>36</v>
      </c>
      <c r="R455" t="s">
        <v>57</v>
      </c>
      <c r="S455" t="s">
        <v>38</v>
      </c>
      <c r="T455">
        <v>10</v>
      </c>
      <c r="U455">
        <v>60446</v>
      </c>
      <c r="V455">
        <v>1</v>
      </c>
      <c r="W455">
        <v>0</v>
      </c>
      <c r="X455">
        <v>0</v>
      </c>
      <c r="Y455">
        <f>IF(tbl_Incidents[[#This Row],[Lost_Time_Days]]&gt;0, 1, 0)</f>
        <v>0</v>
      </c>
      <c r="Z455" s="1">
        <f>DATE(tbl_Incidents[[#This Row],[Year]], tbl_Incidents[[#This Row],[Month]], 1)</f>
        <v>45323</v>
      </c>
      <c r="AA455" t="str">
        <f t="shared" si="7"/>
        <v>Darwin Port Facility|2024-02</v>
      </c>
    </row>
    <row r="456" spans="1:27" x14ac:dyDescent="0.35">
      <c r="A456" t="s">
        <v>554</v>
      </c>
      <c r="B456" s="1">
        <v>45337</v>
      </c>
      <c r="C456">
        <v>2024</v>
      </c>
      <c r="D456">
        <v>2</v>
      </c>
      <c r="E456" t="s">
        <v>52</v>
      </c>
      <c r="F456" t="s">
        <v>53</v>
      </c>
      <c r="G456" t="s">
        <v>27</v>
      </c>
      <c r="H456" t="s">
        <v>68</v>
      </c>
      <c r="I456" t="s">
        <v>79</v>
      </c>
      <c r="J456" t="s">
        <v>30</v>
      </c>
      <c r="K456" t="s">
        <v>31</v>
      </c>
      <c r="L456" t="s">
        <v>45</v>
      </c>
      <c r="M456" t="s">
        <v>33</v>
      </c>
      <c r="N456">
        <v>0</v>
      </c>
      <c r="O456" t="s">
        <v>90</v>
      </c>
      <c r="P456" t="s">
        <v>35</v>
      </c>
      <c r="Q456" t="s">
        <v>81</v>
      </c>
      <c r="R456" t="s">
        <v>57</v>
      </c>
      <c r="S456" t="s">
        <v>38</v>
      </c>
      <c r="T456">
        <v>8</v>
      </c>
      <c r="U456">
        <v>79992</v>
      </c>
      <c r="V456">
        <v>0</v>
      </c>
      <c r="W456">
        <v>0</v>
      </c>
      <c r="X456">
        <v>0</v>
      </c>
      <c r="Y456">
        <f>IF(tbl_Incidents[[#This Row],[Lost_Time_Days]]&gt;0, 1, 0)</f>
        <v>0</v>
      </c>
      <c r="Z456" s="1">
        <f>DATE(tbl_Incidents[[#This Row],[Year]], tbl_Incidents[[#This Row],[Month]], 1)</f>
        <v>45323</v>
      </c>
      <c r="AA456" t="str">
        <f t="shared" si="7"/>
        <v>Thunderbird Mine|2024-02</v>
      </c>
    </row>
    <row r="457" spans="1:27" x14ac:dyDescent="0.35">
      <c r="A457" t="s">
        <v>555</v>
      </c>
      <c r="B457" s="1">
        <v>45022</v>
      </c>
      <c r="C457">
        <v>2023</v>
      </c>
      <c r="D457">
        <v>4</v>
      </c>
      <c r="E457" t="s">
        <v>40</v>
      </c>
      <c r="F457" t="s">
        <v>41</v>
      </c>
      <c r="G457" t="s">
        <v>59</v>
      </c>
      <c r="H457" t="s">
        <v>73</v>
      </c>
      <c r="I457" t="s">
        <v>110</v>
      </c>
      <c r="J457" t="s">
        <v>61</v>
      </c>
      <c r="K457" t="s">
        <v>31</v>
      </c>
      <c r="L457" t="s">
        <v>100</v>
      </c>
      <c r="M457" t="s">
        <v>33</v>
      </c>
      <c r="N457">
        <v>1</v>
      </c>
      <c r="O457" t="s">
        <v>90</v>
      </c>
      <c r="P457" t="s">
        <v>91</v>
      </c>
      <c r="Q457" t="s">
        <v>76</v>
      </c>
      <c r="R457" t="s">
        <v>49</v>
      </c>
      <c r="S457" t="s">
        <v>50</v>
      </c>
      <c r="T457">
        <v>9</v>
      </c>
      <c r="U457">
        <v>42410</v>
      </c>
      <c r="V457">
        <v>1</v>
      </c>
      <c r="W457">
        <v>0</v>
      </c>
      <c r="X457">
        <v>0</v>
      </c>
      <c r="Y457">
        <f>IF(tbl_Incidents[[#This Row],[Lost_Time_Days]]&gt;0, 1, 0)</f>
        <v>1</v>
      </c>
      <c r="Z457" s="1">
        <f>DATE(tbl_Incidents[[#This Row],[Year]], tbl_Incidents[[#This Row],[Month]], 1)</f>
        <v>45017</v>
      </c>
      <c r="AA457" t="str">
        <f t="shared" si="7"/>
        <v>Pilbara Crusher Plant|2023-04</v>
      </c>
    </row>
    <row r="458" spans="1:27" x14ac:dyDescent="0.35">
      <c r="A458" t="s">
        <v>556</v>
      </c>
      <c r="B458" s="1">
        <v>45241</v>
      </c>
      <c r="C458">
        <v>2023</v>
      </c>
      <c r="D458">
        <v>11</v>
      </c>
      <c r="E458" t="s">
        <v>107</v>
      </c>
      <c r="F458" t="s">
        <v>26</v>
      </c>
      <c r="G458" t="s">
        <v>27</v>
      </c>
      <c r="H458" t="s">
        <v>120</v>
      </c>
      <c r="I458" t="s">
        <v>98</v>
      </c>
      <c r="J458" t="s">
        <v>30</v>
      </c>
      <c r="K458" t="s">
        <v>31</v>
      </c>
      <c r="L458" t="s">
        <v>93</v>
      </c>
      <c r="M458" t="s">
        <v>33</v>
      </c>
      <c r="N458">
        <v>0</v>
      </c>
      <c r="O458" t="s">
        <v>34</v>
      </c>
      <c r="P458" t="s">
        <v>35</v>
      </c>
      <c r="Q458" t="s">
        <v>76</v>
      </c>
      <c r="R458" t="s">
        <v>57</v>
      </c>
      <c r="S458" t="s">
        <v>38</v>
      </c>
      <c r="T458">
        <v>11</v>
      </c>
      <c r="U458">
        <v>41092</v>
      </c>
      <c r="V458">
        <v>0</v>
      </c>
      <c r="W458">
        <v>0</v>
      </c>
      <c r="X458">
        <v>0</v>
      </c>
      <c r="Y458">
        <f>IF(tbl_Incidents[[#This Row],[Lost_Time_Days]]&gt;0, 1, 0)</f>
        <v>0</v>
      </c>
      <c r="Z458" s="1">
        <f>DATE(tbl_Incidents[[#This Row],[Year]], tbl_Incidents[[#This Row],[Month]], 1)</f>
        <v>45231</v>
      </c>
      <c r="AA458" t="str">
        <f t="shared" si="7"/>
        <v>Thunderbird Mine|2023-11</v>
      </c>
    </row>
    <row r="459" spans="1:27" x14ac:dyDescent="0.35">
      <c r="A459" t="s">
        <v>557</v>
      </c>
      <c r="B459" s="1">
        <v>44630</v>
      </c>
      <c r="C459">
        <v>2022</v>
      </c>
      <c r="D459">
        <v>3</v>
      </c>
      <c r="E459" t="s">
        <v>125</v>
      </c>
      <c r="F459" t="s">
        <v>53</v>
      </c>
      <c r="G459" t="s">
        <v>59</v>
      </c>
      <c r="H459" t="s">
        <v>28</v>
      </c>
      <c r="I459" t="s">
        <v>110</v>
      </c>
      <c r="J459" t="s">
        <v>61</v>
      </c>
      <c r="K459" t="s">
        <v>117</v>
      </c>
      <c r="L459" t="s">
        <v>74</v>
      </c>
      <c r="M459" t="s">
        <v>33</v>
      </c>
      <c r="N459">
        <v>22</v>
      </c>
      <c r="O459" t="s">
        <v>34</v>
      </c>
      <c r="P459" t="s">
        <v>47</v>
      </c>
      <c r="Q459" t="s">
        <v>48</v>
      </c>
      <c r="R459" t="s">
        <v>49</v>
      </c>
      <c r="S459" t="s">
        <v>50</v>
      </c>
      <c r="T459">
        <v>8</v>
      </c>
      <c r="U459">
        <v>81347</v>
      </c>
      <c r="V459">
        <v>1</v>
      </c>
      <c r="W459">
        <v>0</v>
      </c>
      <c r="X459">
        <v>0</v>
      </c>
      <c r="Y459">
        <f>IF(tbl_Incidents[[#This Row],[Lost_Time_Days]]&gt;0, 1, 0)</f>
        <v>1</v>
      </c>
      <c r="Z459" s="1">
        <f>DATE(tbl_Incidents[[#This Row],[Year]], tbl_Incidents[[#This Row],[Month]], 1)</f>
        <v>44621</v>
      </c>
      <c r="AA459" t="str">
        <f t="shared" si="7"/>
        <v>Pilbara Crusher Plant|2022-03</v>
      </c>
    </row>
    <row r="460" spans="1:27" x14ac:dyDescent="0.35">
      <c r="A460" t="s">
        <v>558</v>
      </c>
      <c r="B460" s="1">
        <v>45173</v>
      </c>
      <c r="C460">
        <v>2023</v>
      </c>
      <c r="D460">
        <v>9</v>
      </c>
      <c r="E460" t="s">
        <v>97</v>
      </c>
      <c r="F460" t="s">
        <v>67</v>
      </c>
      <c r="G460" t="s">
        <v>27</v>
      </c>
      <c r="H460" t="s">
        <v>73</v>
      </c>
      <c r="I460" t="s">
        <v>98</v>
      </c>
      <c r="J460" t="s">
        <v>30</v>
      </c>
      <c r="K460" t="s">
        <v>31</v>
      </c>
      <c r="L460" t="s">
        <v>100</v>
      </c>
      <c r="M460" t="s">
        <v>46</v>
      </c>
      <c r="N460">
        <v>0</v>
      </c>
      <c r="O460" t="s">
        <v>63</v>
      </c>
      <c r="P460" t="s">
        <v>35</v>
      </c>
      <c r="Q460" t="s">
        <v>36</v>
      </c>
      <c r="R460" t="s">
        <v>57</v>
      </c>
      <c r="S460" t="s">
        <v>50</v>
      </c>
      <c r="T460">
        <v>10</v>
      </c>
      <c r="U460">
        <v>83721</v>
      </c>
      <c r="V460">
        <v>0</v>
      </c>
      <c r="W460">
        <v>0</v>
      </c>
      <c r="X460">
        <v>0</v>
      </c>
      <c r="Y460">
        <f>IF(tbl_Incidents[[#This Row],[Lost_Time_Days]]&gt;0, 1, 0)</f>
        <v>0</v>
      </c>
      <c r="Z460" s="1">
        <f>DATE(tbl_Incidents[[#This Row],[Year]], tbl_Incidents[[#This Row],[Month]], 1)</f>
        <v>45170</v>
      </c>
      <c r="AA460" t="str">
        <f t="shared" si="7"/>
        <v>Thunderbird Mine|2023-09</v>
      </c>
    </row>
    <row r="461" spans="1:27" x14ac:dyDescent="0.35">
      <c r="A461" t="s">
        <v>559</v>
      </c>
      <c r="B461" s="1">
        <v>45063</v>
      </c>
      <c r="C461">
        <v>2023</v>
      </c>
      <c r="D461">
        <v>5</v>
      </c>
      <c r="E461" t="s">
        <v>109</v>
      </c>
      <c r="F461" t="s">
        <v>41</v>
      </c>
      <c r="G461" t="s">
        <v>42</v>
      </c>
      <c r="H461" t="s">
        <v>68</v>
      </c>
      <c r="I461" t="s">
        <v>110</v>
      </c>
      <c r="J461" t="s">
        <v>61</v>
      </c>
      <c r="K461" t="s">
        <v>117</v>
      </c>
      <c r="L461" t="s">
        <v>80</v>
      </c>
      <c r="M461" t="s">
        <v>56</v>
      </c>
      <c r="N461">
        <v>24</v>
      </c>
      <c r="O461" t="s">
        <v>75</v>
      </c>
      <c r="P461" t="s">
        <v>91</v>
      </c>
      <c r="Q461" t="s">
        <v>48</v>
      </c>
      <c r="R461" t="s">
        <v>37</v>
      </c>
      <c r="S461" t="s">
        <v>38</v>
      </c>
      <c r="T461">
        <v>8</v>
      </c>
      <c r="U461">
        <v>73774</v>
      </c>
      <c r="V461">
        <v>1</v>
      </c>
      <c r="W461">
        <v>0</v>
      </c>
      <c r="X461">
        <v>1</v>
      </c>
      <c r="Y461">
        <f>IF(tbl_Incidents[[#This Row],[Lost_Time_Days]]&gt;0, 1, 0)</f>
        <v>1</v>
      </c>
      <c r="Z461" s="1">
        <f>DATE(tbl_Incidents[[#This Row],[Year]], tbl_Incidents[[#This Row],[Month]], 1)</f>
        <v>45047</v>
      </c>
      <c r="AA461" t="str">
        <f t="shared" si="7"/>
        <v>Darwin Port Facility|2023-05</v>
      </c>
    </row>
    <row r="462" spans="1:27" x14ac:dyDescent="0.35">
      <c r="A462" t="s">
        <v>560</v>
      </c>
      <c r="B462" s="1">
        <v>45396</v>
      </c>
      <c r="C462">
        <v>2024</v>
      </c>
      <c r="D462">
        <v>4</v>
      </c>
      <c r="E462" t="s">
        <v>40</v>
      </c>
      <c r="F462" t="s">
        <v>41</v>
      </c>
      <c r="G462" t="s">
        <v>78</v>
      </c>
      <c r="H462" t="s">
        <v>120</v>
      </c>
      <c r="I462" t="s">
        <v>29</v>
      </c>
      <c r="J462" t="s">
        <v>30</v>
      </c>
      <c r="K462" t="s">
        <v>31</v>
      </c>
      <c r="L462" t="s">
        <v>100</v>
      </c>
      <c r="M462" t="s">
        <v>33</v>
      </c>
      <c r="N462">
        <v>0</v>
      </c>
      <c r="O462" t="s">
        <v>34</v>
      </c>
      <c r="P462" t="s">
        <v>47</v>
      </c>
      <c r="Q462" t="s">
        <v>48</v>
      </c>
      <c r="R462" t="s">
        <v>57</v>
      </c>
      <c r="S462" t="s">
        <v>88</v>
      </c>
      <c r="T462">
        <v>12</v>
      </c>
      <c r="U462">
        <v>69809</v>
      </c>
      <c r="V462">
        <v>0</v>
      </c>
      <c r="W462">
        <v>0</v>
      </c>
      <c r="X462">
        <v>0</v>
      </c>
      <c r="Y462">
        <f>IF(tbl_Incidents[[#This Row],[Lost_Time_Days]]&gt;0, 1, 0)</f>
        <v>0</v>
      </c>
      <c r="Z462" s="1">
        <f>DATE(tbl_Incidents[[#This Row],[Year]], tbl_Incidents[[#This Row],[Month]], 1)</f>
        <v>45383</v>
      </c>
      <c r="AA462" t="str">
        <f t="shared" si="7"/>
        <v>Broome Logistics Hub|2024-04</v>
      </c>
    </row>
    <row r="463" spans="1:27" x14ac:dyDescent="0.35">
      <c r="A463" t="s">
        <v>561</v>
      </c>
      <c r="B463" s="1">
        <v>45148</v>
      </c>
      <c r="C463">
        <v>2023</v>
      </c>
      <c r="D463">
        <v>8</v>
      </c>
      <c r="E463" t="s">
        <v>66</v>
      </c>
      <c r="F463" t="s">
        <v>67</v>
      </c>
      <c r="G463" t="s">
        <v>105</v>
      </c>
      <c r="H463" t="s">
        <v>120</v>
      </c>
      <c r="I463" t="s">
        <v>44</v>
      </c>
      <c r="J463" t="s">
        <v>30</v>
      </c>
      <c r="K463" t="s">
        <v>31</v>
      </c>
      <c r="L463" t="s">
        <v>80</v>
      </c>
      <c r="M463" t="s">
        <v>56</v>
      </c>
      <c r="N463">
        <v>0</v>
      </c>
      <c r="O463" t="s">
        <v>90</v>
      </c>
      <c r="P463" t="s">
        <v>35</v>
      </c>
      <c r="Q463" t="s">
        <v>48</v>
      </c>
      <c r="R463" t="s">
        <v>57</v>
      </c>
      <c r="S463" t="s">
        <v>50</v>
      </c>
      <c r="T463">
        <v>12</v>
      </c>
      <c r="U463">
        <v>66517</v>
      </c>
      <c r="V463">
        <v>0</v>
      </c>
      <c r="W463">
        <v>0</v>
      </c>
      <c r="X463">
        <v>0</v>
      </c>
      <c r="Y463">
        <f>IF(tbl_Incidents[[#This Row],[Lost_Time_Days]]&gt;0, 1, 0)</f>
        <v>0</v>
      </c>
      <c r="Z463" s="1">
        <f>DATE(tbl_Incidents[[#This Row],[Year]], tbl_Incidents[[#This Row],[Month]], 1)</f>
        <v>45139</v>
      </c>
      <c r="AA463" t="str">
        <f t="shared" si="7"/>
        <v>Katherine Processing Site|2023-08</v>
      </c>
    </row>
    <row r="464" spans="1:27" x14ac:dyDescent="0.35">
      <c r="A464" t="s">
        <v>562</v>
      </c>
      <c r="B464" s="1">
        <v>45445</v>
      </c>
      <c r="C464">
        <v>2024</v>
      </c>
      <c r="D464">
        <v>6</v>
      </c>
      <c r="E464" t="s">
        <v>72</v>
      </c>
      <c r="F464" t="s">
        <v>41</v>
      </c>
      <c r="G464" t="s">
        <v>59</v>
      </c>
      <c r="H464" t="s">
        <v>28</v>
      </c>
      <c r="I464" t="s">
        <v>44</v>
      </c>
      <c r="J464" t="s">
        <v>30</v>
      </c>
      <c r="K464" t="s">
        <v>31</v>
      </c>
      <c r="L464" t="s">
        <v>93</v>
      </c>
      <c r="M464" t="s">
        <v>56</v>
      </c>
      <c r="N464">
        <v>0</v>
      </c>
      <c r="O464" t="s">
        <v>70</v>
      </c>
      <c r="P464" t="s">
        <v>35</v>
      </c>
      <c r="Q464" t="s">
        <v>76</v>
      </c>
      <c r="R464" t="s">
        <v>57</v>
      </c>
      <c r="S464" t="s">
        <v>38</v>
      </c>
      <c r="T464">
        <v>8</v>
      </c>
      <c r="U464">
        <v>113051</v>
      </c>
      <c r="V464">
        <v>0</v>
      </c>
      <c r="W464">
        <v>0</v>
      </c>
      <c r="X464">
        <v>0</v>
      </c>
      <c r="Y464">
        <f>IF(tbl_Incidents[[#This Row],[Lost_Time_Days]]&gt;0, 1, 0)</f>
        <v>0</v>
      </c>
      <c r="Z464" s="1">
        <f>DATE(tbl_Incidents[[#This Row],[Year]], tbl_Incidents[[#This Row],[Month]], 1)</f>
        <v>45444</v>
      </c>
      <c r="AA464" t="str">
        <f t="shared" si="7"/>
        <v>Pilbara Crusher Plant|2024-06</v>
      </c>
    </row>
    <row r="465" spans="1:27" x14ac:dyDescent="0.35">
      <c r="A465" t="s">
        <v>563</v>
      </c>
      <c r="B465" s="1">
        <v>45107</v>
      </c>
      <c r="C465">
        <v>2023</v>
      </c>
      <c r="D465">
        <v>6</v>
      </c>
      <c r="E465" t="s">
        <v>72</v>
      </c>
      <c r="F465" t="s">
        <v>41</v>
      </c>
      <c r="G465" t="s">
        <v>27</v>
      </c>
      <c r="H465" t="s">
        <v>73</v>
      </c>
      <c r="I465" t="s">
        <v>79</v>
      </c>
      <c r="J465" t="s">
        <v>30</v>
      </c>
      <c r="K465" t="s">
        <v>31</v>
      </c>
      <c r="L465" t="s">
        <v>80</v>
      </c>
      <c r="M465" t="s">
        <v>33</v>
      </c>
      <c r="N465">
        <v>0</v>
      </c>
      <c r="O465" t="s">
        <v>75</v>
      </c>
      <c r="P465" t="s">
        <v>35</v>
      </c>
      <c r="Q465" t="s">
        <v>81</v>
      </c>
      <c r="R465" t="s">
        <v>49</v>
      </c>
      <c r="S465" t="s">
        <v>88</v>
      </c>
      <c r="T465">
        <v>10</v>
      </c>
      <c r="U465">
        <v>98065</v>
      </c>
      <c r="V465">
        <v>0</v>
      </c>
      <c r="W465">
        <v>0</v>
      </c>
      <c r="X465">
        <v>0</v>
      </c>
      <c r="Y465">
        <f>IF(tbl_Incidents[[#This Row],[Lost_Time_Days]]&gt;0, 1, 0)</f>
        <v>0</v>
      </c>
      <c r="Z465" s="1">
        <f>DATE(tbl_Incidents[[#This Row],[Year]], tbl_Incidents[[#This Row],[Month]], 1)</f>
        <v>45078</v>
      </c>
      <c r="AA465" t="str">
        <f t="shared" si="7"/>
        <v>Thunderbird Mine|2023-06</v>
      </c>
    </row>
    <row r="466" spans="1:27" x14ac:dyDescent="0.35">
      <c r="A466" t="s">
        <v>564</v>
      </c>
      <c r="B466" s="1">
        <v>45325</v>
      </c>
      <c r="C466">
        <v>2024</v>
      </c>
      <c r="D466">
        <v>2</v>
      </c>
      <c r="E466" t="s">
        <v>52</v>
      </c>
      <c r="F466" t="s">
        <v>53</v>
      </c>
      <c r="G466" t="s">
        <v>59</v>
      </c>
      <c r="H466" t="s">
        <v>73</v>
      </c>
      <c r="I466" t="s">
        <v>54</v>
      </c>
      <c r="J466" t="s">
        <v>30</v>
      </c>
      <c r="K466" t="s">
        <v>31</v>
      </c>
      <c r="L466" t="s">
        <v>100</v>
      </c>
      <c r="M466" t="s">
        <v>33</v>
      </c>
      <c r="N466">
        <v>0</v>
      </c>
      <c r="O466" t="s">
        <v>34</v>
      </c>
      <c r="P466" t="s">
        <v>35</v>
      </c>
      <c r="Q466" t="s">
        <v>36</v>
      </c>
      <c r="R466" t="s">
        <v>37</v>
      </c>
      <c r="S466" t="s">
        <v>50</v>
      </c>
      <c r="T466">
        <v>10</v>
      </c>
      <c r="U466">
        <v>119377</v>
      </c>
      <c r="V466">
        <v>0</v>
      </c>
      <c r="W466">
        <v>0</v>
      </c>
      <c r="X466">
        <v>0</v>
      </c>
      <c r="Y466">
        <f>IF(tbl_Incidents[[#This Row],[Lost_Time_Days]]&gt;0, 1, 0)</f>
        <v>0</v>
      </c>
      <c r="Z466" s="1">
        <f>DATE(tbl_Incidents[[#This Row],[Year]], tbl_Incidents[[#This Row],[Month]], 1)</f>
        <v>45323</v>
      </c>
      <c r="AA466" t="str">
        <f t="shared" si="7"/>
        <v>Pilbara Crusher Plant|2024-02</v>
      </c>
    </row>
    <row r="467" spans="1:27" x14ac:dyDescent="0.35">
      <c r="A467" t="s">
        <v>565</v>
      </c>
      <c r="B467" s="1">
        <v>45142</v>
      </c>
      <c r="C467">
        <v>2023</v>
      </c>
      <c r="D467">
        <v>8</v>
      </c>
      <c r="E467" t="s">
        <v>66</v>
      </c>
      <c r="F467" t="s">
        <v>67</v>
      </c>
      <c r="G467" t="s">
        <v>42</v>
      </c>
      <c r="H467" t="s">
        <v>43</v>
      </c>
      <c r="I467" t="s">
        <v>98</v>
      </c>
      <c r="J467" t="s">
        <v>30</v>
      </c>
      <c r="K467" t="s">
        <v>31</v>
      </c>
      <c r="L467" t="s">
        <v>100</v>
      </c>
      <c r="M467" t="s">
        <v>33</v>
      </c>
      <c r="N467">
        <v>0</v>
      </c>
      <c r="O467" t="s">
        <v>75</v>
      </c>
      <c r="P467" t="s">
        <v>35</v>
      </c>
      <c r="Q467" t="s">
        <v>81</v>
      </c>
      <c r="R467" t="s">
        <v>57</v>
      </c>
      <c r="S467" t="s">
        <v>88</v>
      </c>
      <c r="T467">
        <v>9</v>
      </c>
      <c r="U467">
        <v>105840</v>
      </c>
      <c r="V467">
        <v>0</v>
      </c>
      <c r="W467">
        <v>0</v>
      </c>
      <c r="X467">
        <v>0</v>
      </c>
      <c r="Y467">
        <f>IF(tbl_Incidents[[#This Row],[Lost_Time_Days]]&gt;0, 1, 0)</f>
        <v>0</v>
      </c>
      <c r="Z467" s="1">
        <f>DATE(tbl_Incidents[[#This Row],[Year]], tbl_Incidents[[#This Row],[Month]], 1)</f>
        <v>45139</v>
      </c>
      <c r="AA467" t="str">
        <f t="shared" si="7"/>
        <v>Darwin Port Facility|2023-08</v>
      </c>
    </row>
    <row r="468" spans="1:27" x14ac:dyDescent="0.35">
      <c r="A468" t="s">
        <v>566</v>
      </c>
      <c r="B468" s="1">
        <v>45428</v>
      </c>
      <c r="C468">
        <v>2024</v>
      </c>
      <c r="D468">
        <v>5</v>
      </c>
      <c r="E468" t="s">
        <v>109</v>
      </c>
      <c r="F468" t="s">
        <v>41</v>
      </c>
      <c r="G468" t="s">
        <v>105</v>
      </c>
      <c r="H468" t="s">
        <v>28</v>
      </c>
      <c r="I468" t="s">
        <v>98</v>
      </c>
      <c r="J468" t="s">
        <v>30</v>
      </c>
      <c r="K468" t="s">
        <v>31</v>
      </c>
      <c r="L468" t="s">
        <v>80</v>
      </c>
      <c r="M468" t="s">
        <v>33</v>
      </c>
      <c r="N468">
        <v>0</v>
      </c>
      <c r="O468" t="s">
        <v>70</v>
      </c>
      <c r="P468" t="s">
        <v>47</v>
      </c>
      <c r="Q468" t="s">
        <v>64</v>
      </c>
      <c r="R468" t="s">
        <v>49</v>
      </c>
      <c r="S468" t="s">
        <v>38</v>
      </c>
      <c r="T468">
        <v>9</v>
      </c>
      <c r="U468">
        <v>65330</v>
      </c>
      <c r="V468">
        <v>0</v>
      </c>
      <c r="W468">
        <v>0</v>
      </c>
      <c r="X468">
        <v>0</v>
      </c>
      <c r="Y468">
        <f>IF(tbl_Incidents[[#This Row],[Lost_Time_Days]]&gt;0, 1, 0)</f>
        <v>0</v>
      </c>
      <c r="Z468" s="1">
        <f>DATE(tbl_Incidents[[#This Row],[Year]], tbl_Incidents[[#This Row],[Month]], 1)</f>
        <v>45413</v>
      </c>
      <c r="AA468" t="str">
        <f t="shared" si="7"/>
        <v>Katherine Processing Site|2024-05</v>
      </c>
    </row>
    <row r="469" spans="1:27" x14ac:dyDescent="0.35">
      <c r="A469" t="s">
        <v>567</v>
      </c>
      <c r="B469" s="1">
        <v>44793</v>
      </c>
      <c r="C469">
        <v>2022</v>
      </c>
      <c r="D469">
        <v>8</v>
      </c>
      <c r="E469" t="s">
        <v>66</v>
      </c>
      <c r="F469" t="s">
        <v>67</v>
      </c>
      <c r="G469" t="s">
        <v>105</v>
      </c>
      <c r="H469" t="s">
        <v>68</v>
      </c>
      <c r="I469" t="s">
        <v>29</v>
      </c>
      <c r="J469" t="s">
        <v>30</v>
      </c>
      <c r="K469" t="s">
        <v>31</v>
      </c>
      <c r="L469" t="s">
        <v>32</v>
      </c>
      <c r="M469" t="s">
        <v>56</v>
      </c>
      <c r="N469">
        <v>0</v>
      </c>
      <c r="O469" t="s">
        <v>34</v>
      </c>
      <c r="P469" t="s">
        <v>35</v>
      </c>
      <c r="Q469" t="s">
        <v>48</v>
      </c>
      <c r="R469" t="s">
        <v>57</v>
      </c>
      <c r="S469" t="s">
        <v>38</v>
      </c>
      <c r="T469">
        <v>11</v>
      </c>
      <c r="U469">
        <v>104217</v>
      </c>
      <c r="V469">
        <v>0</v>
      </c>
      <c r="W469">
        <v>0</v>
      </c>
      <c r="X469">
        <v>0</v>
      </c>
      <c r="Y469">
        <f>IF(tbl_Incidents[[#This Row],[Lost_Time_Days]]&gt;0, 1, 0)</f>
        <v>0</v>
      </c>
      <c r="Z469" s="1">
        <f>DATE(tbl_Incidents[[#This Row],[Year]], tbl_Incidents[[#This Row],[Month]], 1)</f>
        <v>44774</v>
      </c>
      <c r="AA469" t="str">
        <f t="shared" si="7"/>
        <v>Katherine Processing Site|2022-08</v>
      </c>
    </row>
    <row r="470" spans="1:27" x14ac:dyDescent="0.35">
      <c r="A470" t="s">
        <v>568</v>
      </c>
      <c r="B470" s="1">
        <v>45449</v>
      </c>
      <c r="C470">
        <v>2024</v>
      </c>
      <c r="D470">
        <v>6</v>
      </c>
      <c r="E470" t="s">
        <v>72</v>
      </c>
      <c r="F470" t="s">
        <v>41</v>
      </c>
      <c r="G470" t="s">
        <v>42</v>
      </c>
      <c r="H470" t="s">
        <v>86</v>
      </c>
      <c r="I470" t="s">
        <v>110</v>
      </c>
      <c r="J470" t="s">
        <v>61</v>
      </c>
      <c r="K470" t="s">
        <v>139</v>
      </c>
      <c r="L470" t="s">
        <v>45</v>
      </c>
      <c r="M470" t="s">
        <v>46</v>
      </c>
      <c r="N470">
        <v>29</v>
      </c>
      <c r="O470" t="s">
        <v>75</v>
      </c>
      <c r="P470" t="s">
        <v>47</v>
      </c>
      <c r="Q470" t="s">
        <v>81</v>
      </c>
      <c r="R470" t="s">
        <v>49</v>
      </c>
      <c r="S470" t="s">
        <v>50</v>
      </c>
      <c r="T470">
        <v>12</v>
      </c>
      <c r="U470">
        <v>117831</v>
      </c>
      <c r="V470">
        <v>1</v>
      </c>
      <c r="W470">
        <v>0</v>
      </c>
      <c r="X470">
        <v>0</v>
      </c>
      <c r="Y470">
        <f>IF(tbl_Incidents[[#This Row],[Lost_Time_Days]]&gt;0, 1, 0)</f>
        <v>1</v>
      </c>
      <c r="Z470" s="1">
        <f>DATE(tbl_Incidents[[#This Row],[Year]], tbl_Incidents[[#This Row],[Month]], 1)</f>
        <v>45444</v>
      </c>
      <c r="AA470" t="str">
        <f t="shared" si="7"/>
        <v>Darwin Port Facility|2024-06</v>
      </c>
    </row>
    <row r="471" spans="1:27" x14ac:dyDescent="0.35">
      <c r="A471" t="s">
        <v>569</v>
      </c>
      <c r="B471" s="1">
        <v>45218</v>
      </c>
      <c r="C471">
        <v>2023</v>
      </c>
      <c r="D471">
        <v>10</v>
      </c>
      <c r="E471" t="s">
        <v>25</v>
      </c>
      <c r="F471" t="s">
        <v>26</v>
      </c>
      <c r="G471" t="s">
        <v>27</v>
      </c>
      <c r="H471" t="s">
        <v>43</v>
      </c>
      <c r="I471" t="s">
        <v>79</v>
      </c>
      <c r="J471" t="s">
        <v>30</v>
      </c>
      <c r="K471" t="s">
        <v>31</v>
      </c>
      <c r="L471" t="s">
        <v>74</v>
      </c>
      <c r="M471" t="s">
        <v>56</v>
      </c>
      <c r="N471">
        <v>0</v>
      </c>
      <c r="O471" t="s">
        <v>63</v>
      </c>
      <c r="P471" t="s">
        <v>35</v>
      </c>
      <c r="Q471" t="s">
        <v>48</v>
      </c>
      <c r="R471" t="s">
        <v>37</v>
      </c>
      <c r="S471" t="s">
        <v>50</v>
      </c>
      <c r="T471">
        <v>11</v>
      </c>
      <c r="U471">
        <v>45144</v>
      </c>
      <c r="V471">
        <v>0</v>
      </c>
      <c r="W471">
        <v>0</v>
      </c>
      <c r="X471">
        <v>0</v>
      </c>
      <c r="Y471">
        <f>IF(tbl_Incidents[[#This Row],[Lost_Time_Days]]&gt;0, 1, 0)</f>
        <v>0</v>
      </c>
      <c r="Z471" s="1">
        <f>DATE(tbl_Incidents[[#This Row],[Year]], tbl_Incidents[[#This Row],[Month]], 1)</f>
        <v>45200</v>
      </c>
      <c r="AA471" t="str">
        <f t="shared" si="7"/>
        <v>Thunderbird Mine|2023-10</v>
      </c>
    </row>
    <row r="472" spans="1:27" x14ac:dyDescent="0.35">
      <c r="A472" t="s">
        <v>570</v>
      </c>
      <c r="B472" s="1">
        <v>45133</v>
      </c>
      <c r="C472">
        <v>2023</v>
      </c>
      <c r="D472">
        <v>7</v>
      </c>
      <c r="E472" t="s">
        <v>85</v>
      </c>
      <c r="F472" t="s">
        <v>67</v>
      </c>
      <c r="G472" t="s">
        <v>27</v>
      </c>
      <c r="H472" t="s">
        <v>73</v>
      </c>
      <c r="I472" t="s">
        <v>110</v>
      </c>
      <c r="J472" t="s">
        <v>61</v>
      </c>
      <c r="K472" t="s">
        <v>62</v>
      </c>
      <c r="L472" t="s">
        <v>83</v>
      </c>
      <c r="M472" t="s">
        <v>56</v>
      </c>
      <c r="N472">
        <v>17</v>
      </c>
      <c r="O472" t="s">
        <v>34</v>
      </c>
      <c r="P472" t="s">
        <v>91</v>
      </c>
      <c r="Q472" t="s">
        <v>64</v>
      </c>
      <c r="R472" t="s">
        <v>57</v>
      </c>
      <c r="S472" t="s">
        <v>88</v>
      </c>
      <c r="T472">
        <v>10</v>
      </c>
      <c r="U472">
        <v>47149</v>
      </c>
      <c r="V472">
        <v>1</v>
      </c>
      <c r="W472">
        <v>0</v>
      </c>
      <c r="X472">
        <v>0</v>
      </c>
      <c r="Y472">
        <f>IF(tbl_Incidents[[#This Row],[Lost_Time_Days]]&gt;0, 1, 0)</f>
        <v>1</v>
      </c>
      <c r="Z472" s="1">
        <f>DATE(tbl_Incidents[[#This Row],[Year]], tbl_Incidents[[#This Row],[Month]], 1)</f>
        <v>45108</v>
      </c>
      <c r="AA472" t="str">
        <f t="shared" si="7"/>
        <v>Thunderbird Mine|2023-07</v>
      </c>
    </row>
    <row r="473" spans="1:27" x14ac:dyDescent="0.35">
      <c r="A473" t="s">
        <v>571</v>
      </c>
      <c r="B473" s="1">
        <v>44707</v>
      </c>
      <c r="C473">
        <v>2022</v>
      </c>
      <c r="D473">
        <v>5</v>
      </c>
      <c r="E473" t="s">
        <v>109</v>
      </c>
      <c r="F473" t="s">
        <v>41</v>
      </c>
      <c r="G473" t="s">
        <v>105</v>
      </c>
      <c r="H473" t="s">
        <v>68</v>
      </c>
      <c r="I473" t="s">
        <v>110</v>
      </c>
      <c r="J473" t="s">
        <v>61</v>
      </c>
      <c r="K473" t="s">
        <v>31</v>
      </c>
      <c r="L473" t="s">
        <v>74</v>
      </c>
      <c r="M473" t="s">
        <v>33</v>
      </c>
      <c r="N473">
        <v>27</v>
      </c>
      <c r="O473" t="s">
        <v>70</v>
      </c>
      <c r="P473" t="s">
        <v>35</v>
      </c>
      <c r="Q473" t="s">
        <v>64</v>
      </c>
      <c r="R473" t="s">
        <v>49</v>
      </c>
      <c r="S473" t="s">
        <v>38</v>
      </c>
      <c r="T473">
        <v>11</v>
      </c>
      <c r="U473">
        <v>43265</v>
      </c>
      <c r="V473">
        <v>1</v>
      </c>
      <c r="W473">
        <v>0</v>
      </c>
      <c r="X473">
        <v>0</v>
      </c>
      <c r="Y473">
        <f>IF(tbl_Incidents[[#This Row],[Lost_Time_Days]]&gt;0, 1, 0)</f>
        <v>1</v>
      </c>
      <c r="Z473" s="1">
        <f>DATE(tbl_Incidents[[#This Row],[Year]], tbl_Incidents[[#This Row],[Month]], 1)</f>
        <v>44682</v>
      </c>
      <c r="AA473" t="str">
        <f t="shared" si="7"/>
        <v>Katherine Processing Site|2022-05</v>
      </c>
    </row>
    <row r="474" spans="1:27" x14ac:dyDescent="0.35">
      <c r="A474" t="s">
        <v>572</v>
      </c>
      <c r="B474" s="1">
        <v>45166</v>
      </c>
      <c r="C474">
        <v>2023</v>
      </c>
      <c r="D474">
        <v>8</v>
      </c>
      <c r="E474" t="s">
        <v>66</v>
      </c>
      <c r="F474" t="s">
        <v>67</v>
      </c>
      <c r="G474" t="s">
        <v>42</v>
      </c>
      <c r="H474" t="s">
        <v>86</v>
      </c>
      <c r="I474" t="s">
        <v>79</v>
      </c>
      <c r="J474" t="s">
        <v>30</v>
      </c>
      <c r="K474" t="s">
        <v>31</v>
      </c>
      <c r="L474" t="s">
        <v>74</v>
      </c>
      <c r="M474" t="s">
        <v>56</v>
      </c>
      <c r="N474">
        <v>0</v>
      </c>
      <c r="O474" t="s">
        <v>34</v>
      </c>
      <c r="P474" t="s">
        <v>35</v>
      </c>
      <c r="Q474" t="s">
        <v>36</v>
      </c>
      <c r="R474" t="s">
        <v>57</v>
      </c>
      <c r="S474" t="s">
        <v>38</v>
      </c>
      <c r="T474">
        <v>11</v>
      </c>
      <c r="U474">
        <v>87571</v>
      </c>
      <c r="V474">
        <v>0</v>
      </c>
      <c r="W474">
        <v>0</v>
      </c>
      <c r="X474">
        <v>0</v>
      </c>
      <c r="Y474">
        <f>IF(tbl_Incidents[[#This Row],[Lost_Time_Days]]&gt;0, 1, 0)</f>
        <v>0</v>
      </c>
      <c r="Z474" s="1">
        <f>DATE(tbl_Incidents[[#This Row],[Year]], tbl_Incidents[[#This Row],[Month]], 1)</f>
        <v>45139</v>
      </c>
      <c r="AA474" t="str">
        <f t="shared" si="7"/>
        <v>Darwin Port Facility|2023-08</v>
      </c>
    </row>
    <row r="475" spans="1:27" x14ac:dyDescent="0.35">
      <c r="A475" t="s">
        <v>573</v>
      </c>
      <c r="B475" s="1">
        <v>44649</v>
      </c>
      <c r="C475">
        <v>2022</v>
      </c>
      <c r="D475">
        <v>3</v>
      </c>
      <c r="E475" t="s">
        <v>125</v>
      </c>
      <c r="F475" t="s">
        <v>53</v>
      </c>
      <c r="G475" t="s">
        <v>105</v>
      </c>
      <c r="H475" t="s">
        <v>28</v>
      </c>
      <c r="I475" t="s">
        <v>98</v>
      </c>
      <c r="J475" t="s">
        <v>30</v>
      </c>
      <c r="K475" t="s">
        <v>31</v>
      </c>
      <c r="L475" t="s">
        <v>103</v>
      </c>
      <c r="M475" t="s">
        <v>46</v>
      </c>
      <c r="N475">
        <v>0</v>
      </c>
      <c r="O475" t="s">
        <v>34</v>
      </c>
      <c r="P475" t="s">
        <v>47</v>
      </c>
      <c r="Q475" t="s">
        <v>76</v>
      </c>
      <c r="R475" t="s">
        <v>49</v>
      </c>
      <c r="S475" t="s">
        <v>38</v>
      </c>
      <c r="T475">
        <v>9</v>
      </c>
      <c r="U475">
        <v>83934</v>
      </c>
      <c r="V475">
        <v>0</v>
      </c>
      <c r="W475">
        <v>0</v>
      </c>
      <c r="X475">
        <v>0</v>
      </c>
      <c r="Y475">
        <f>IF(tbl_Incidents[[#This Row],[Lost_Time_Days]]&gt;0, 1, 0)</f>
        <v>0</v>
      </c>
      <c r="Z475" s="1">
        <f>DATE(tbl_Incidents[[#This Row],[Year]], tbl_Incidents[[#This Row],[Month]], 1)</f>
        <v>44621</v>
      </c>
      <c r="AA475" t="str">
        <f t="shared" si="7"/>
        <v>Katherine Processing Site|2022-03</v>
      </c>
    </row>
    <row r="476" spans="1:27" x14ac:dyDescent="0.35">
      <c r="A476" t="s">
        <v>574</v>
      </c>
      <c r="B476" s="1">
        <v>45141</v>
      </c>
      <c r="C476">
        <v>2023</v>
      </c>
      <c r="D476">
        <v>8</v>
      </c>
      <c r="E476" t="s">
        <v>66</v>
      </c>
      <c r="F476" t="s">
        <v>67</v>
      </c>
      <c r="G476" t="s">
        <v>42</v>
      </c>
      <c r="H476" t="s">
        <v>73</v>
      </c>
      <c r="I476" t="s">
        <v>54</v>
      </c>
      <c r="J476" t="s">
        <v>30</v>
      </c>
      <c r="K476" t="s">
        <v>31</v>
      </c>
      <c r="L476" t="s">
        <v>93</v>
      </c>
      <c r="M476" t="s">
        <v>33</v>
      </c>
      <c r="N476">
        <v>0</v>
      </c>
      <c r="O476" t="s">
        <v>70</v>
      </c>
      <c r="P476" t="s">
        <v>35</v>
      </c>
      <c r="Q476" t="s">
        <v>64</v>
      </c>
      <c r="R476" t="s">
        <v>57</v>
      </c>
      <c r="S476" t="s">
        <v>38</v>
      </c>
      <c r="T476">
        <v>11</v>
      </c>
      <c r="U476">
        <v>77851</v>
      </c>
      <c r="V476">
        <v>0</v>
      </c>
      <c r="W476">
        <v>0</v>
      </c>
      <c r="X476">
        <v>0</v>
      </c>
      <c r="Y476">
        <f>IF(tbl_Incidents[[#This Row],[Lost_Time_Days]]&gt;0, 1, 0)</f>
        <v>0</v>
      </c>
      <c r="Z476" s="1">
        <f>DATE(tbl_Incidents[[#This Row],[Year]], tbl_Incidents[[#This Row],[Month]], 1)</f>
        <v>45139</v>
      </c>
      <c r="AA476" t="str">
        <f t="shared" si="7"/>
        <v>Darwin Port Facility|2023-08</v>
      </c>
    </row>
    <row r="477" spans="1:27" x14ac:dyDescent="0.35">
      <c r="A477" t="s">
        <v>575</v>
      </c>
      <c r="B477" s="1">
        <v>45203</v>
      </c>
      <c r="C477">
        <v>2023</v>
      </c>
      <c r="D477">
        <v>10</v>
      </c>
      <c r="E477" t="s">
        <v>25</v>
      </c>
      <c r="F477" t="s">
        <v>26</v>
      </c>
      <c r="G477" t="s">
        <v>27</v>
      </c>
      <c r="H477" t="s">
        <v>73</v>
      </c>
      <c r="I477" t="s">
        <v>44</v>
      </c>
      <c r="J477" t="s">
        <v>30</v>
      </c>
      <c r="K477" t="s">
        <v>69</v>
      </c>
      <c r="L477" t="s">
        <v>45</v>
      </c>
      <c r="M477" t="s">
        <v>46</v>
      </c>
      <c r="N477">
        <v>0</v>
      </c>
      <c r="O477" t="s">
        <v>70</v>
      </c>
      <c r="P477" t="s">
        <v>91</v>
      </c>
      <c r="Q477" t="s">
        <v>36</v>
      </c>
      <c r="R477" t="s">
        <v>49</v>
      </c>
      <c r="S477" t="s">
        <v>88</v>
      </c>
      <c r="T477">
        <v>11</v>
      </c>
      <c r="U477">
        <v>111237</v>
      </c>
      <c r="V477">
        <v>0</v>
      </c>
      <c r="W477">
        <v>0</v>
      </c>
      <c r="X477">
        <v>0</v>
      </c>
      <c r="Y477">
        <f>IF(tbl_Incidents[[#This Row],[Lost_Time_Days]]&gt;0, 1, 0)</f>
        <v>0</v>
      </c>
      <c r="Z477" s="1">
        <f>DATE(tbl_Incidents[[#This Row],[Year]], tbl_Incidents[[#This Row],[Month]], 1)</f>
        <v>45200</v>
      </c>
      <c r="AA477" t="str">
        <f t="shared" si="7"/>
        <v>Thunderbird Mine|2023-10</v>
      </c>
    </row>
    <row r="478" spans="1:27" x14ac:dyDescent="0.35">
      <c r="A478" t="s">
        <v>576</v>
      </c>
      <c r="B478" s="1">
        <v>45388</v>
      </c>
      <c r="C478">
        <v>2024</v>
      </c>
      <c r="D478">
        <v>4</v>
      </c>
      <c r="E478" t="s">
        <v>40</v>
      </c>
      <c r="F478" t="s">
        <v>41</v>
      </c>
      <c r="G478" t="s">
        <v>78</v>
      </c>
      <c r="H478" t="s">
        <v>86</v>
      </c>
      <c r="I478" t="s">
        <v>29</v>
      </c>
      <c r="J478" t="s">
        <v>30</v>
      </c>
      <c r="K478" t="s">
        <v>31</v>
      </c>
      <c r="L478" t="s">
        <v>100</v>
      </c>
      <c r="M478" t="s">
        <v>33</v>
      </c>
      <c r="N478">
        <v>0</v>
      </c>
      <c r="O478" t="s">
        <v>90</v>
      </c>
      <c r="P478" t="s">
        <v>47</v>
      </c>
      <c r="Q478" t="s">
        <v>64</v>
      </c>
      <c r="R478" t="s">
        <v>49</v>
      </c>
      <c r="S478" t="s">
        <v>88</v>
      </c>
      <c r="T478">
        <v>8</v>
      </c>
      <c r="U478">
        <v>118802</v>
      </c>
      <c r="V478">
        <v>0</v>
      </c>
      <c r="W478">
        <v>0</v>
      </c>
      <c r="X478">
        <v>0</v>
      </c>
      <c r="Y478">
        <f>IF(tbl_Incidents[[#This Row],[Lost_Time_Days]]&gt;0, 1, 0)</f>
        <v>0</v>
      </c>
      <c r="Z478" s="1">
        <f>DATE(tbl_Incidents[[#This Row],[Year]], tbl_Incidents[[#This Row],[Month]], 1)</f>
        <v>45383</v>
      </c>
      <c r="AA478" t="str">
        <f t="shared" si="7"/>
        <v>Broome Logistics Hub|2024-04</v>
      </c>
    </row>
    <row r="479" spans="1:27" x14ac:dyDescent="0.35">
      <c r="A479" t="s">
        <v>577</v>
      </c>
      <c r="B479" s="1">
        <v>44812</v>
      </c>
      <c r="C479">
        <v>2022</v>
      </c>
      <c r="D479">
        <v>9</v>
      </c>
      <c r="E479" t="s">
        <v>97</v>
      </c>
      <c r="F479" t="s">
        <v>67</v>
      </c>
      <c r="G479" t="s">
        <v>59</v>
      </c>
      <c r="H479" t="s">
        <v>43</v>
      </c>
      <c r="I479" t="s">
        <v>98</v>
      </c>
      <c r="J479" t="s">
        <v>30</v>
      </c>
      <c r="K479" t="s">
        <v>31</v>
      </c>
      <c r="L479" t="s">
        <v>103</v>
      </c>
      <c r="M479" t="s">
        <v>33</v>
      </c>
      <c r="N479">
        <v>0</v>
      </c>
      <c r="O479" t="s">
        <v>34</v>
      </c>
      <c r="P479" t="s">
        <v>35</v>
      </c>
      <c r="Q479" t="s">
        <v>48</v>
      </c>
      <c r="R479" t="s">
        <v>57</v>
      </c>
      <c r="S479" t="s">
        <v>38</v>
      </c>
      <c r="T479">
        <v>8</v>
      </c>
      <c r="U479">
        <v>59054</v>
      </c>
      <c r="V479">
        <v>0</v>
      </c>
      <c r="W479">
        <v>0</v>
      </c>
      <c r="X479">
        <v>0</v>
      </c>
      <c r="Y479">
        <f>IF(tbl_Incidents[[#This Row],[Lost_Time_Days]]&gt;0, 1, 0)</f>
        <v>0</v>
      </c>
      <c r="Z479" s="1">
        <f>DATE(tbl_Incidents[[#This Row],[Year]], tbl_Incidents[[#This Row],[Month]], 1)</f>
        <v>44805</v>
      </c>
      <c r="AA479" t="str">
        <f t="shared" si="7"/>
        <v>Pilbara Crusher Plant|2022-09</v>
      </c>
    </row>
    <row r="480" spans="1:27" x14ac:dyDescent="0.35">
      <c r="A480" t="s">
        <v>578</v>
      </c>
      <c r="B480" s="1">
        <v>45436</v>
      </c>
      <c r="C480">
        <v>2024</v>
      </c>
      <c r="D480">
        <v>5</v>
      </c>
      <c r="E480" t="s">
        <v>109</v>
      </c>
      <c r="F480" t="s">
        <v>41</v>
      </c>
      <c r="G480" t="s">
        <v>78</v>
      </c>
      <c r="H480" t="s">
        <v>43</v>
      </c>
      <c r="I480" t="s">
        <v>29</v>
      </c>
      <c r="J480" t="s">
        <v>30</v>
      </c>
      <c r="K480" t="s">
        <v>31</v>
      </c>
      <c r="L480" t="s">
        <v>32</v>
      </c>
      <c r="M480" t="s">
        <v>56</v>
      </c>
      <c r="N480">
        <v>0</v>
      </c>
      <c r="O480" t="s">
        <v>34</v>
      </c>
      <c r="P480" t="s">
        <v>35</v>
      </c>
      <c r="Q480" t="s">
        <v>36</v>
      </c>
      <c r="R480" t="s">
        <v>49</v>
      </c>
      <c r="S480" t="s">
        <v>38</v>
      </c>
      <c r="T480">
        <v>9</v>
      </c>
      <c r="U480">
        <v>77274</v>
      </c>
      <c r="V480">
        <v>0</v>
      </c>
      <c r="W480">
        <v>0</v>
      </c>
      <c r="X480">
        <v>0</v>
      </c>
      <c r="Y480">
        <f>IF(tbl_Incidents[[#This Row],[Lost_Time_Days]]&gt;0, 1, 0)</f>
        <v>0</v>
      </c>
      <c r="Z480" s="1">
        <f>DATE(tbl_Incidents[[#This Row],[Year]], tbl_Incidents[[#This Row],[Month]], 1)</f>
        <v>45413</v>
      </c>
      <c r="AA480" t="str">
        <f t="shared" si="7"/>
        <v>Broome Logistics Hub|2024-05</v>
      </c>
    </row>
    <row r="481" spans="1:27" x14ac:dyDescent="0.35">
      <c r="A481" t="s">
        <v>579</v>
      </c>
      <c r="B481" s="1">
        <v>45270</v>
      </c>
      <c r="C481">
        <v>2023</v>
      </c>
      <c r="D481">
        <v>12</v>
      </c>
      <c r="E481" t="s">
        <v>123</v>
      </c>
      <c r="F481" t="s">
        <v>26</v>
      </c>
      <c r="G481" t="s">
        <v>78</v>
      </c>
      <c r="H481" t="s">
        <v>43</v>
      </c>
      <c r="I481" t="s">
        <v>79</v>
      </c>
      <c r="J481" t="s">
        <v>30</v>
      </c>
      <c r="K481" t="s">
        <v>31</v>
      </c>
      <c r="L481" t="s">
        <v>103</v>
      </c>
      <c r="M481" t="s">
        <v>33</v>
      </c>
      <c r="N481">
        <v>0</v>
      </c>
      <c r="O481" t="s">
        <v>63</v>
      </c>
      <c r="P481" t="s">
        <v>91</v>
      </c>
      <c r="Q481" t="s">
        <v>36</v>
      </c>
      <c r="R481" t="s">
        <v>57</v>
      </c>
      <c r="S481" t="s">
        <v>38</v>
      </c>
      <c r="T481">
        <v>10</v>
      </c>
      <c r="U481">
        <v>88309</v>
      </c>
      <c r="V481">
        <v>0</v>
      </c>
      <c r="W481">
        <v>0</v>
      </c>
      <c r="X481">
        <v>0</v>
      </c>
      <c r="Y481">
        <f>IF(tbl_Incidents[[#This Row],[Lost_Time_Days]]&gt;0, 1, 0)</f>
        <v>0</v>
      </c>
      <c r="Z481" s="1">
        <f>DATE(tbl_Incidents[[#This Row],[Year]], tbl_Incidents[[#This Row],[Month]], 1)</f>
        <v>45261</v>
      </c>
      <c r="AA481" t="str">
        <f t="shared" si="7"/>
        <v>Broome Logistics Hub|2023-12</v>
      </c>
    </row>
    <row r="482" spans="1:27" x14ac:dyDescent="0.35">
      <c r="A482" t="s">
        <v>580</v>
      </c>
      <c r="B482" s="1">
        <v>44950</v>
      </c>
      <c r="C482">
        <v>2023</v>
      </c>
      <c r="D482">
        <v>1</v>
      </c>
      <c r="E482" t="s">
        <v>129</v>
      </c>
      <c r="F482" t="s">
        <v>53</v>
      </c>
      <c r="G482" t="s">
        <v>27</v>
      </c>
      <c r="H482" t="s">
        <v>86</v>
      </c>
      <c r="I482" t="s">
        <v>54</v>
      </c>
      <c r="J482" t="s">
        <v>30</v>
      </c>
      <c r="K482" t="s">
        <v>31</v>
      </c>
      <c r="L482" t="s">
        <v>103</v>
      </c>
      <c r="M482" t="s">
        <v>33</v>
      </c>
      <c r="N482">
        <v>0</v>
      </c>
      <c r="O482" t="s">
        <v>34</v>
      </c>
      <c r="P482" t="s">
        <v>47</v>
      </c>
      <c r="Q482" t="s">
        <v>48</v>
      </c>
      <c r="R482" t="s">
        <v>57</v>
      </c>
      <c r="S482" t="s">
        <v>38</v>
      </c>
      <c r="T482">
        <v>10</v>
      </c>
      <c r="U482">
        <v>109081</v>
      </c>
      <c r="V482">
        <v>0</v>
      </c>
      <c r="W482">
        <v>0</v>
      </c>
      <c r="X482">
        <v>0</v>
      </c>
      <c r="Y482">
        <f>IF(tbl_Incidents[[#This Row],[Lost_Time_Days]]&gt;0, 1, 0)</f>
        <v>0</v>
      </c>
      <c r="Z482" s="1">
        <f>DATE(tbl_Incidents[[#This Row],[Year]], tbl_Incidents[[#This Row],[Month]], 1)</f>
        <v>44927</v>
      </c>
      <c r="AA482" t="str">
        <f t="shared" si="7"/>
        <v>Thunderbird Mine|2023-01</v>
      </c>
    </row>
    <row r="483" spans="1:27" x14ac:dyDescent="0.35">
      <c r="A483" t="s">
        <v>581</v>
      </c>
      <c r="B483" s="1">
        <v>44985</v>
      </c>
      <c r="C483">
        <v>2023</v>
      </c>
      <c r="D483">
        <v>2</v>
      </c>
      <c r="E483" t="s">
        <v>52</v>
      </c>
      <c r="F483" t="s">
        <v>53</v>
      </c>
      <c r="G483" t="s">
        <v>42</v>
      </c>
      <c r="H483" t="s">
        <v>28</v>
      </c>
      <c r="I483" t="s">
        <v>98</v>
      </c>
      <c r="J483" t="s">
        <v>30</v>
      </c>
      <c r="K483" t="s">
        <v>31</v>
      </c>
      <c r="L483" t="s">
        <v>100</v>
      </c>
      <c r="M483" t="s">
        <v>46</v>
      </c>
      <c r="N483">
        <v>0</v>
      </c>
      <c r="O483" t="s">
        <v>34</v>
      </c>
      <c r="P483" t="s">
        <v>35</v>
      </c>
      <c r="Q483" t="s">
        <v>76</v>
      </c>
      <c r="R483" t="s">
        <v>37</v>
      </c>
      <c r="S483" t="s">
        <v>38</v>
      </c>
      <c r="T483">
        <v>11</v>
      </c>
      <c r="U483">
        <v>119269</v>
      </c>
      <c r="V483">
        <v>0</v>
      </c>
      <c r="W483">
        <v>0</v>
      </c>
      <c r="X483">
        <v>0</v>
      </c>
      <c r="Y483">
        <f>IF(tbl_Incidents[[#This Row],[Lost_Time_Days]]&gt;0, 1, 0)</f>
        <v>0</v>
      </c>
      <c r="Z483" s="1">
        <f>DATE(tbl_Incidents[[#This Row],[Year]], tbl_Incidents[[#This Row],[Month]], 1)</f>
        <v>44958</v>
      </c>
      <c r="AA483" t="str">
        <f t="shared" si="7"/>
        <v>Darwin Port Facility|2023-02</v>
      </c>
    </row>
    <row r="484" spans="1:27" x14ac:dyDescent="0.35">
      <c r="A484" t="s">
        <v>582</v>
      </c>
      <c r="B484" s="1">
        <v>45369</v>
      </c>
      <c r="C484">
        <v>2024</v>
      </c>
      <c r="D484">
        <v>3</v>
      </c>
      <c r="E484" t="s">
        <v>125</v>
      </c>
      <c r="F484" t="s">
        <v>53</v>
      </c>
      <c r="G484" t="s">
        <v>59</v>
      </c>
      <c r="H484" t="s">
        <v>86</v>
      </c>
      <c r="I484" t="s">
        <v>79</v>
      </c>
      <c r="J484" t="s">
        <v>30</v>
      </c>
      <c r="K484" t="s">
        <v>31</v>
      </c>
      <c r="L484" t="s">
        <v>95</v>
      </c>
      <c r="M484" t="s">
        <v>56</v>
      </c>
      <c r="N484">
        <v>0</v>
      </c>
      <c r="O484" t="s">
        <v>34</v>
      </c>
      <c r="P484" t="s">
        <v>91</v>
      </c>
      <c r="Q484" t="s">
        <v>48</v>
      </c>
      <c r="R484" t="s">
        <v>37</v>
      </c>
      <c r="S484" t="s">
        <v>50</v>
      </c>
      <c r="T484">
        <v>11</v>
      </c>
      <c r="U484">
        <v>108118</v>
      </c>
      <c r="V484">
        <v>0</v>
      </c>
      <c r="W484">
        <v>0</v>
      </c>
      <c r="X484">
        <v>0</v>
      </c>
      <c r="Y484">
        <f>IF(tbl_Incidents[[#This Row],[Lost_Time_Days]]&gt;0, 1, 0)</f>
        <v>0</v>
      </c>
      <c r="Z484" s="1">
        <f>DATE(tbl_Incidents[[#This Row],[Year]], tbl_Incidents[[#This Row],[Month]], 1)</f>
        <v>45352</v>
      </c>
      <c r="AA484" t="str">
        <f t="shared" si="7"/>
        <v>Pilbara Crusher Plant|2024-03</v>
      </c>
    </row>
    <row r="485" spans="1:27" x14ac:dyDescent="0.35">
      <c r="A485" t="s">
        <v>583</v>
      </c>
      <c r="B485" s="1">
        <v>45308</v>
      </c>
      <c r="C485">
        <v>2024</v>
      </c>
      <c r="D485">
        <v>1</v>
      </c>
      <c r="E485" t="s">
        <v>129</v>
      </c>
      <c r="F485" t="s">
        <v>53</v>
      </c>
      <c r="G485" t="s">
        <v>105</v>
      </c>
      <c r="H485" t="s">
        <v>86</v>
      </c>
      <c r="I485" t="s">
        <v>79</v>
      </c>
      <c r="J485" t="s">
        <v>30</v>
      </c>
      <c r="K485" t="s">
        <v>31</v>
      </c>
      <c r="L485" t="s">
        <v>93</v>
      </c>
      <c r="M485" t="s">
        <v>46</v>
      </c>
      <c r="N485">
        <v>0</v>
      </c>
      <c r="O485" t="s">
        <v>34</v>
      </c>
      <c r="P485" t="s">
        <v>91</v>
      </c>
      <c r="Q485" t="s">
        <v>48</v>
      </c>
      <c r="R485" t="s">
        <v>57</v>
      </c>
      <c r="S485" t="s">
        <v>38</v>
      </c>
      <c r="T485">
        <v>8</v>
      </c>
      <c r="U485">
        <v>100933</v>
      </c>
      <c r="V485">
        <v>0</v>
      </c>
      <c r="W485">
        <v>0</v>
      </c>
      <c r="X485">
        <v>0</v>
      </c>
      <c r="Y485">
        <f>IF(tbl_Incidents[[#This Row],[Lost_Time_Days]]&gt;0, 1, 0)</f>
        <v>0</v>
      </c>
      <c r="Z485" s="1">
        <f>DATE(tbl_Incidents[[#This Row],[Year]], tbl_Incidents[[#This Row],[Month]], 1)</f>
        <v>45292</v>
      </c>
      <c r="AA485" t="str">
        <f t="shared" si="7"/>
        <v>Katherine Processing Site|2024-01</v>
      </c>
    </row>
    <row r="486" spans="1:27" x14ac:dyDescent="0.35">
      <c r="A486" t="s">
        <v>584</v>
      </c>
      <c r="B486" s="1">
        <v>45202</v>
      </c>
      <c r="C486">
        <v>2023</v>
      </c>
      <c r="D486">
        <v>10</v>
      </c>
      <c r="E486" t="s">
        <v>25</v>
      </c>
      <c r="F486" t="s">
        <v>26</v>
      </c>
      <c r="G486" t="s">
        <v>27</v>
      </c>
      <c r="H486" t="s">
        <v>28</v>
      </c>
      <c r="I486" t="s">
        <v>54</v>
      </c>
      <c r="J486" t="s">
        <v>30</v>
      </c>
      <c r="K486" t="s">
        <v>31</v>
      </c>
      <c r="L486" t="s">
        <v>100</v>
      </c>
      <c r="M486" t="s">
        <v>46</v>
      </c>
      <c r="N486">
        <v>0</v>
      </c>
      <c r="O486" t="s">
        <v>63</v>
      </c>
      <c r="P486" t="s">
        <v>47</v>
      </c>
      <c r="Q486" t="s">
        <v>36</v>
      </c>
      <c r="R486" t="s">
        <v>57</v>
      </c>
      <c r="S486" t="s">
        <v>38</v>
      </c>
      <c r="T486">
        <v>12</v>
      </c>
      <c r="U486">
        <v>67831</v>
      </c>
      <c r="V486">
        <v>0</v>
      </c>
      <c r="W486">
        <v>0</v>
      </c>
      <c r="X486">
        <v>0</v>
      </c>
      <c r="Y486">
        <f>IF(tbl_Incidents[[#This Row],[Lost_Time_Days]]&gt;0, 1, 0)</f>
        <v>0</v>
      </c>
      <c r="Z486" s="1">
        <f>DATE(tbl_Incidents[[#This Row],[Year]], tbl_Incidents[[#This Row],[Month]], 1)</f>
        <v>45200</v>
      </c>
      <c r="AA486" t="str">
        <f t="shared" si="7"/>
        <v>Thunderbird Mine|2023-10</v>
      </c>
    </row>
    <row r="487" spans="1:27" x14ac:dyDescent="0.35">
      <c r="A487" t="s">
        <v>585</v>
      </c>
      <c r="B487" s="1">
        <v>44573</v>
      </c>
      <c r="C487">
        <v>2022</v>
      </c>
      <c r="D487">
        <v>1</v>
      </c>
      <c r="E487" t="s">
        <v>129</v>
      </c>
      <c r="F487" t="s">
        <v>53</v>
      </c>
      <c r="G487" t="s">
        <v>42</v>
      </c>
      <c r="H487" t="s">
        <v>28</v>
      </c>
      <c r="I487" t="s">
        <v>79</v>
      </c>
      <c r="J487" t="s">
        <v>30</v>
      </c>
      <c r="K487" t="s">
        <v>31</v>
      </c>
      <c r="L487" t="s">
        <v>32</v>
      </c>
      <c r="M487" t="s">
        <v>56</v>
      </c>
      <c r="N487">
        <v>0</v>
      </c>
      <c r="O487" t="s">
        <v>70</v>
      </c>
      <c r="P487" t="s">
        <v>35</v>
      </c>
      <c r="Q487" t="s">
        <v>81</v>
      </c>
      <c r="R487" t="s">
        <v>57</v>
      </c>
      <c r="S487" t="s">
        <v>50</v>
      </c>
      <c r="T487">
        <v>12</v>
      </c>
      <c r="U487">
        <v>82457</v>
      </c>
      <c r="V487">
        <v>0</v>
      </c>
      <c r="W487">
        <v>0</v>
      </c>
      <c r="X487">
        <v>0</v>
      </c>
      <c r="Y487">
        <f>IF(tbl_Incidents[[#This Row],[Lost_Time_Days]]&gt;0, 1, 0)</f>
        <v>0</v>
      </c>
      <c r="Z487" s="1">
        <f>DATE(tbl_Incidents[[#This Row],[Year]], tbl_Incidents[[#This Row],[Month]], 1)</f>
        <v>44562</v>
      </c>
      <c r="AA487" t="str">
        <f t="shared" si="7"/>
        <v>Darwin Port Facility|2022-01</v>
      </c>
    </row>
    <row r="488" spans="1:27" x14ac:dyDescent="0.35">
      <c r="A488" t="s">
        <v>586</v>
      </c>
      <c r="B488" s="1">
        <v>45347</v>
      </c>
      <c r="C488">
        <v>2024</v>
      </c>
      <c r="D488">
        <v>2</v>
      </c>
      <c r="E488" t="s">
        <v>52</v>
      </c>
      <c r="F488" t="s">
        <v>53</v>
      </c>
      <c r="G488" t="s">
        <v>27</v>
      </c>
      <c r="H488" t="s">
        <v>28</v>
      </c>
      <c r="I488" t="s">
        <v>29</v>
      </c>
      <c r="J488" t="s">
        <v>30</v>
      </c>
      <c r="K488" t="s">
        <v>31</v>
      </c>
      <c r="L488" t="s">
        <v>80</v>
      </c>
      <c r="M488" t="s">
        <v>56</v>
      </c>
      <c r="N488">
        <v>0</v>
      </c>
      <c r="O488" t="s">
        <v>63</v>
      </c>
      <c r="P488" t="s">
        <v>35</v>
      </c>
      <c r="Q488" t="s">
        <v>48</v>
      </c>
      <c r="R488" t="s">
        <v>57</v>
      </c>
      <c r="S488" t="s">
        <v>38</v>
      </c>
      <c r="T488">
        <v>10</v>
      </c>
      <c r="U488">
        <v>102797</v>
      </c>
      <c r="V488">
        <v>0</v>
      </c>
      <c r="W488">
        <v>0</v>
      </c>
      <c r="X488">
        <v>1</v>
      </c>
      <c r="Y488">
        <f>IF(tbl_Incidents[[#This Row],[Lost_Time_Days]]&gt;0, 1, 0)</f>
        <v>0</v>
      </c>
      <c r="Z488" s="1">
        <f>DATE(tbl_Incidents[[#This Row],[Year]], tbl_Incidents[[#This Row],[Month]], 1)</f>
        <v>45323</v>
      </c>
      <c r="AA488" t="str">
        <f t="shared" si="7"/>
        <v>Thunderbird Mine|2024-02</v>
      </c>
    </row>
    <row r="489" spans="1:27" x14ac:dyDescent="0.35">
      <c r="A489" t="s">
        <v>587</v>
      </c>
      <c r="B489" s="1">
        <v>45378</v>
      </c>
      <c r="C489">
        <v>2024</v>
      </c>
      <c r="D489">
        <v>3</v>
      </c>
      <c r="E489" t="s">
        <v>125</v>
      </c>
      <c r="F489" t="s">
        <v>53</v>
      </c>
      <c r="G489" t="s">
        <v>42</v>
      </c>
      <c r="H489" t="s">
        <v>86</v>
      </c>
      <c r="I489" t="s">
        <v>29</v>
      </c>
      <c r="J489" t="s">
        <v>30</v>
      </c>
      <c r="K489" t="s">
        <v>31</v>
      </c>
      <c r="L489" t="s">
        <v>93</v>
      </c>
      <c r="M489" t="s">
        <v>46</v>
      </c>
      <c r="N489">
        <v>0</v>
      </c>
      <c r="O489" t="s">
        <v>63</v>
      </c>
      <c r="P489" t="s">
        <v>91</v>
      </c>
      <c r="Q489" t="s">
        <v>64</v>
      </c>
      <c r="R489" t="s">
        <v>49</v>
      </c>
      <c r="S489" t="s">
        <v>38</v>
      </c>
      <c r="T489">
        <v>12</v>
      </c>
      <c r="U489">
        <v>79235</v>
      </c>
      <c r="V489">
        <v>0</v>
      </c>
      <c r="W489">
        <v>0</v>
      </c>
      <c r="X489">
        <v>0</v>
      </c>
      <c r="Y489">
        <f>IF(tbl_Incidents[[#This Row],[Lost_Time_Days]]&gt;0, 1, 0)</f>
        <v>0</v>
      </c>
      <c r="Z489" s="1">
        <f>DATE(tbl_Incidents[[#This Row],[Year]], tbl_Incidents[[#This Row],[Month]], 1)</f>
        <v>45352</v>
      </c>
      <c r="AA489" t="str">
        <f t="shared" si="7"/>
        <v>Darwin Port Facility|2024-03</v>
      </c>
    </row>
    <row r="490" spans="1:27" x14ac:dyDescent="0.35">
      <c r="A490" t="s">
        <v>588</v>
      </c>
      <c r="B490" s="1">
        <v>45256</v>
      </c>
      <c r="C490">
        <v>2023</v>
      </c>
      <c r="D490">
        <v>11</v>
      </c>
      <c r="E490" t="s">
        <v>107</v>
      </c>
      <c r="F490" t="s">
        <v>26</v>
      </c>
      <c r="G490" t="s">
        <v>78</v>
      </c>
      <c r="H490" t="s">
        <v>43</v>
      </c>
      <c r="I490" t="s">
        <v>60</v>
      </c>
      <c r="J490" t="s">
        <v>61</v>
      </c>
      <c r="K490" t="s">
        <v>147</v>
      </c>
      <c r="L490" t="s">
        <v>100</v>
      </c>
      <c r="M490" t="s">
        <v>46</v>
      </c>
      <c r="N490">
        <v>0</v>
      </c>
      <c r="O490" t="s">
        <v>75</v>
      </c>
      <c r="P490" t="s">
        <v>91</v>
      </c>
      <c r="Q490" t="s">
        <v>81</v>
      </c>
      <c r="R490" t="s">
        <v>57</v>
      </c>
      <c r="S490" t="s">
        <v>38</v>
      </c>
      <c r="T490">
        <v>10</v>
      </c>
      <c r="U490">
        <v>44085</v>
      </c>
      <c r="V490">
        <v>1</v>
      </c>
      <c r="W490">
        <v>0</v>
      </c>
      <c r="X490">
        <v>0</v>
      </c>
      <c r="Y490">
        <f>IF(tbl_Incidents[[#This Row],[Lost_Time_Days]]&gt;0, 1, 0)</f>
        <v>0</v>
      </c>
      <c r="Z490" s="1">
        <f>DATE(tbl_Incidents[[#This Row],[Year]], tbl_Incidents[[#This Row],[Month]], 1)</f>
        <v>45231</v>
      </c>
      <c r="AA490" t="str">
        <f t="shared" si="7"/>
        <v>Broome Logistics Hub|2023-11</v>
      </c>
    </row>
    <row r="491" spans="1:27" x14ac:dyDescent="0.35">
      <c r="A491" t="s">
        <v>589</v>
      </c>
      <c r="B491" s="1">
        <v>44909</v>
      </c>
      <c r="C491">
        <v>2022</v>
      </c>
      <c r="D491">
        <v>12</v>
      </c>
      <c r="E491" t="s">
        <v>123</v>
      </c>
      <c r="F491" t="s">
        <v>26</v>
      </c>
      <c r="G491" t="s">
        <v>78</v>
      </c>
      <c r="H491" t="s">
        <v>73</v>
      </c>
      <c r="I491" t="s">
        <v>110</v>
      </c>
      <c r="J491" t="s">
        <v>61</v>
      </c>
      <c r="K491" t="s">
        <v>31</v>
      </c>
      <c r="L491" t="s">
        <v>95</v>
      </c>
      <c r="M491" t="s">
        <v>56</v>
      </c>
      <c r="N491">
        <v>21</v>
      </c>
      <c r="O491" t="s">
        <v>34</v>
      </c>
      <c r="P491" t="s">
        <v>35</v>
      </c>
      <c r="Q491" t="s">
        <v>81</v>
      </c>
      <c r="R491" t="s">
        <v>57</v>
      </c>
      <c r="S491" t="s">
        <v>38</v>
      </c>
      <c r="T491">
        <v>10</v>
      </c>
      <c r="U491">
        <v>94246</v>
      </c>
      <c r="V491">
        <v>1</v>
      </c>
      <c r="W491">
        <v>0</v>
      </c>
      <c r="X491">
        <v>0</v>
      </c>
      <c r="Y491">
        <f>IF(tbl_Incidents[[#This Row],[Lost_Time_Days]]&gt;0, 1, 0)</f>
        <v>1</v>
      </c>
      <c r="Z491" s="1">
        <f>DATE(tbl_Incidents[[#This Row],[Year]], tbl_Incidents[[#This Row],[Month]], 1)</f>
        <v>44896</v>
      </c>
      <c r="AA491" t="str">
        <f t="shared" si="7"/>
        <v>Broome Logistics Hub|2022-12</v>
      </c>
    </row>
    <row r="492" spans="1:27" x14ac:dyDescent="0.35">
      <c r="A492" t="s">
        <v>590</v>
      </c>
      <c r="B492" s="1">
        <v>45460</v>
      </c>
      <c r="C492">
        <v>2024</v>
      </c>
      <c r="D492">
        <v>6</v>
      </c>
      <c r="E492" t="s">
        <v>72</v>
      </c>
      <c r="F492" t="s">
        <v>41</v>
      </c>
      <c r="G492" t="s">
        <v>59</v>
      </c>
      <c r="H492" t="s">
        <v>86</v>
      </c>
      <c r="I492" t="s">
        <v>44</v>
      </c>
      <c r="J492" t="s">
        <v>30</v>
      </c>
      <c r="K492" t="s">
        <v>62</v>
      </c>
      <c r="L492" t="s">
        <v>100</v>
      </c>
      <c r="M492" t="s">
        <v>46</v>
      </c>
      <c r="N492">
        <v>0</v>
      </c>
      <c r="O492" t="s">
        <v>34</v>
      </c>
      <c r="P492" t="s">
        <v>35</v>
      </c>
      <c r="Q492" t="s">
        <v>36</v>
      </c>
      <c r="R492" t="s">
        <v>57</v>
      </c>
      <c r="S492" t="s">
        <v>38</v>
      </c>
      <c r="T492">
        <v>9</v>
      </c>
      <c r="U492">
        <v>52137</v>
      </c>
      <c r="V492">
        <v>0</v>
      </c>
      <c r="W492">
        <v>0</v>
      </c>
      <c r="X492">
        <v>0</v>
      </c>
      <c r="Y492">
        <f>IF(tbl_Incidents[[#This Row],[Lost_Time_Days]]&gt;0, 1, 0)</f>
        <v>0</v>
      </c>
      <c r="Z492" s="1">
        <f>DATE(tbl_Incidents[[#This Row],[Year]], tbl_Incidents[[#This Row],[Month]], 1)</f>
        <v>45444</v>
      </c>
      <c r="AA492" t="str">
        <f t="shared" si="7"/>
        <v>Pilbara Crusher Plant|2024-06</v>
      </c>
    </row>
    <row r="493" spans="1:27" x14ac:dyDescent="0.35">
      <c r="A493" t="s">
        <v>591</v>
      </c>
      <c r="B493" s="1">
        <v>45016</v>
      </c>
      <c r="C493">
        <v>2023</v>
      </c>
      <c r="D493">
        <v>3</v>
      </c>
      <c r="E493" t="s">
        <v>125</v>
      </c>
      <c r="F493" t="s">
        <v>53</v>
      </c>
      <c r="G493" t="s">
        <v>27</v>
      </c>
      <c r="H493" t="s">
        <v>86</v>
      </c>
      <c r="I493" t="s">
        <v>98</v>
      </c>
      <c r="J493" t="s">
        <v>30</v>
      </c>
      <c r="K493" t="s">
        <v>31</v>
      </c>
      <c r="L493" t="s">
        <v>103</v>
      </c>
      <c r="M493" t="s">
        <v>33</v>
      </c>
      <c r="N493">
        <v>0</v>
      </c>
      <c r="O493" t="s">
        <v>34</v>
      </c>
      <c r="P493" t="s">
        <v>91</v>
      </c>
      <c r="Q493" t="s">
        <v>64</v>
      </c>
      <c r="R493" t="s">
        <v>37</v>
      </c>
      <c r="S493" t="s">
        <v>38</v>
      </c>
      <c r="T493">
        <v>10</v>
      </c>
      <c r="U493">
        <v>58781</v>
      </c>
      <c r="V493">
        <v>0</v>
      </c>
      <c r="W493">
        <v>0</v>
      </c>
      <c r="X493">
        <v>0</v>
      </c>
      <c r="Y493">
        <f>IF(tbl_Incidents[[#This Row],[Lost_Time_Days]]&gt;0, 1, 0)</f>
        <v>0</v>
      </c>
      <c r="Z493" s="1">
        <f>DATE(tbl_Incidents[[#This Row],[Year]], tbl_Incidents[[#This Row],[Month]], 1)</f>
        <v>44986</v>
      </c>
      <c r="AA493" t="str">
        <f t="shared" si="7"/>
        <v>Thunderbird Mine|2023-03</v>
      </c>
    </row>
    <row r="494" spans="1:27" x14ac:dyDescent="0.35">
      <c r="A494" t="s">
        <v>592</v>
      </c>
      <c r="B494" s="1">
        <v>45349</v>
      </c>
      <c r="C494">
        <v>2024</v>
      </c>
      <c r="D494">
        <v>2</v>
      </c>
      <c r="E494" t="s">
        <v>52</v>
      </c>
      <c r="F494" t="s">
        <v>53</v>
      </c>
      <c r="G494" t="s">
        <v>27</v>
      </c>
      <c r="H494" t="s">
        <v>43</v>
      </c>
      <c r="I494" t="s">
        <v>54</v>
      </c>
      <c r="J494" t="s">
        <v>30</v>
      </c>
      <c r="K494" t="s">
        <v>31</v>
      </c>
      <c r="L494" t="s">
        <v>93</v>
      </c>
      <c r="M494" t="s">
        <v>33</v>
      </c>
      <c r="N494">
        <v>0</v>
      </c>
      <c r="O494" t="s">
        <v>75</v>
      </c>
      <c r="P494" t="s">
        <v>35</v>
      </c>
      <c r="Q494" t="s">
        <v>64</v>
      </c>
      <c r="R494" t="s">
        <v>49</v>
      </c>
      <c r="S494" t="s">
        <v>50</v>
      </c>
      <c r="T494">
        <v>8</v>
      </c>
      <c r="U494">
        <v>40538</v>
      </c>
      <c r="V494">
        <v>0</v>
      </c>
      <c r="W494">
        <v>0</v>
      </c>
      <c r="X494">
        <v>0</v>
      </c>
      <c r="Y494">
        <f>IF(tbl_Incidents[[#This Row],[Lost_Time_Days]]&gt;0, 1, 0)</f>
        <v>0</v>
      </c>
      <c r="Z494" s="1">
        <f>DATE(tbl_Incidents[[#This Row],[Year]], tbl_Incidents[[#This Row],[Month]], 1)</f>
        <v>45323</v>
      </c>
      <c r="AA494" t="str">
        <f t="shared" si="7"/>
        <v>Thunderbird Mine|2024-02</v>
      </c>
    </row>
    <row r="495" spans="1:27" x14ac:dyDescent="0.35">
      <c r="A495" t="s">
        <v>593</v>
      </c>
      <c r="B495" s="1">
        <v>44880</v>
      </c>
      <c r="C495">
        <v>2022</v>
      </c>
      <c r="D495">
        <v>11</v>
      </c>
      <c r="E495" t="s">
        <v>107</v>
      </c>
      <c r="F495" t="s">
        <v>26</v>
      </c>
      <c r="G495" t="s">
        <v>78</v>
      </c>
      <c r="H495" t="s">
        <v>68</v>
      </c>
      <c r="I495" t="s">
        <v>29</v>
      </c>
      <c r="J495" t="s">
        <v>30</v>
      </c>
      <c r="K495" t="s">
        <v>31</v>
      </c>
      <c r="L495" t="s">
        <v>80</v>
      </c>
      <c r="M495" t="s">
        <v>56</v>
      </c>
      <c r="N495">
        <v>0</v>
      </c>
      <c r="O495" t="s">
        <v>34</v>
      </c>
      <c r="P495" t="s">
        <v>35</v>
      </c>
      <c r="Q495" t="s">
        <v>76</v>
      </c>
      <c r="R495" t="s">
        <v>57</v>
      </c>
      <c r="S495" t="s">
        <v>38</v>
      </c>
      <c r="T495">
        <v>12</v>
      </c>
      <c r="U495">
        <v>80913</v>
      </c>
      <c r="V495">
        <v>0</v>
      </c>
      <c r="W495">
        <v>0</v>
      </c>
      <c r="X495">
        <v>0</v>
      </c>
      <c r="Y495">
        <f>IF(tbl_Incidents[[#This Row],[Lost_Time_Days]]&gt;0, 1, 0)</f>
        <v>0</v>
      </c>
      <c r="Z495" s="1">
        <f>DATE(tbl_Incidents[[#This Row],[Year]], tbl_Incidents[[#This Row],[Month]], 1)</f>
        <v>44866</v>
      </c>
      <c r="AA495" t="str">
        <f t="shared" si="7"/>
        <v>Broome Logistics Hub|2022-11</v>
      </c>
    </row>
    <row r="496" spans="1:27" x14ac:dyDescent="0.35">
      <c r="A496" t="s">
        <v>594</v>
      </c>
      <c r="B496" s="1">
        <v>44776</v>
      </c>
      <c r="C496">
        <v>2022</v>
      </c>
      <c r="D496">
        <v>8</v>
      </c>
      <c r="E496" t="s">
        <v>66</v>
      </c>
      <c r="F496" t="s">
        <v>67</v>
      </c>
      <c r="G496" t="s">
        <v>42</v>
      </c>
      <c r="H496" t="s">
        <v>73</v>
      </c>
      <c r="I496" t="s">
        <v>60</v>
      </c>
      <c r="J496" t="s">
        <v>61</v>
      </c>
      <c r="K496" t="s">
        <v>62</v>
      </c>
      <c r="L496" t="s">
        <v>32</v>
      </c>
      <c r="M496" t="s">
        <v>46</v>
      </c>
      <c r="N496">
        <v>0</v>
      </c>
      <c r="O496" t="s">
        <v>34</v>
      </c>
      <c r="P496" t="s">
        <v>47</v>
      </c>
      <c r="Q496" t="s">
        <v>36</v>
      </c>
      <c r="R496" t="s">
        <v>57</v>
      </c>
      <c r="S496" t="s">
        <v>38</v>
      </c>
      <c r="T496">
        <v>9</v>
      </c>
      <c r="U496">
        <v>75866</v>
      </c>
      <c r="V496">
        <v>1</v>
      </c>
      <c r="W496">
        <v>0</v>
      </c>
      <c r="X496">
        <v>0</v>
      </c>
      <c r="Y496">
        <f>IF(tbl_Incidents[[#This Row],[Lost_Time_Days]]&gt;0, 1, 0)</f>
        <v>0</v>
      </c>
      <c r="Z496" s="1">
        <f>DATE(tbl_Incidents[[#This Row],[Year]], tbl_Incidents[[#This Row],[Month]], 1)</f>
        <v>44774</v>
      </c>
      <c r="AA496" t="str">
        <f t="shared" si="7"/>
        <v>Darwin Port Facility|2022-08</v>
      </c>
    </row>
    <row r="497" spans="1:27" x14ac:dyDescent="0.35">
      <c r="A497" t="s">
        <v>595</v>
      </c>
      <c r="B497" s="1">
        <v>44679</v>
      </c>
      <c r="C497">
        <v>2022</v>
      </c>
      <c r="D497">
        <v>4</v>
      </c>
      <c r="E497" t="s">
        <v>40</v>
      </c>
      <c r="F497" t="s">
        <v>41</v>
      </c>
      <c r="G497" t="s">
        <v>78</v>
      </c>
      <c r="H497" t="s">
        <v>43</v>
      </c>
      <c r="I497" t="s">
        <v>29</v>
      </c>
      <c r="J497" t="s">
        <v>30</v>
      </c>
      <c r="K497" t="s">
        <v>31</v>
      </c>
      <c r="L497" t="s">
        <v>103</v>
      </c>
      <c r="M497" t="s">
        <v>33</v>
      </c>
      <c r="N497">
        <v>0</v>
      </c>
      <c r="O497" t="s">
        <v>34</v>
      </c>
      <c r="P497" t="s">
        <v>91</v>
      </c>
      <c r="Q497" t="s">
        <v>76</v>
      </c>
      <c r="R497" t="s">
        <v>57</v>
      </c>
      <c r="S497" t="s">
        <v>38</v>
      </c>
      <c r="T497">
        <v>9</v>
      </c>
      <c r="U497">
        <v>77128</v>
      </c>
      <c r="V497">
        <v>0</v>
      </c>
      <c r="W497">
        <v>0</v>
      </c>
      <c r="X497">
        <v>0</v>
      </c>
      <c r="Y497">
        <f>IF(tbl_Incidents[[#This Row],[Lost_Time_Days]]&gt;0, 1, 0)</f>
        <v>0</v>
      </c>
      <c r="Z497" s="1">
        <f>DATE(tbl_Incidents[[#This Row],[Year]], tbl_Incidents[[#This Row],[Month]], 1)</f>
        <v>44652</v>
      </c>
      <c r="AA497" t="str">
        <f t="shared" si="7"/>
        <v>Broome Logistics Hub|2022-04</v>
      </c>
    </row>
    <row r="498" spans="1:27" x14ac:dyDescent="0.35">
      <c r="A498" t="s">
        <v>596</v>
      </c>
      <c r="B498" s="1">
        <v>44737</v>
      </c>
      <c r="C498">
        <v>2022</v>
      </c>
      <c r="D498">
        <v>6</v>
      </c>
      <c r="E498" t="s">
        <v>72</v>
      </c>
      <c r="F498" t="s">
        <v>41</v>
      </c>
      <c r="G498" t="s">
        <v>59</v>
      </c>
      <c r="H498" t="s">
        <v>43</v>
      </c>
      <c r="I498" t="s">
        <v>29</v>
      </c>
      <c r="J498" t="s">
        <v>30</v>
      </c>
      <c r="K498" t="s">
        <v>31</v>
      </c>
      <c r="L498" t="s">
        <v>80</v>
      </c>
      <c r="M498" t="s">
        <v>46</v>
      </c>
      <c r="N498">
        <v>0</v>
      </c>
      <c r="O498" t="s">
        <v>63</v>
      </c>
      <c r="P498" t="s">
        <v>35</v>
      </c>
      <c r="Q498" t="s">
        <v>48</v>
      </c>
      <c r="R498" t="s">
        <v>57</v>
      </c>
      <c r="S498" t="s">
        <v>88</v>
      </c>
      <c r="T498">
        <v>8</v>
      </c>
      <c r="U498">
        <v>53884</v>
      </c>
      <c r="V498">
        <v>0</v>
      </c>
      <c r="W498">
        <v>0</v>
      </c>
      <c r="X498">
        <v>0</v>
      </c>
      <c r="Y498">
        <f>IF(tbl_Incidents[[#This Row],[Lost_Time_Days]]&gt;0, 1, 0)</f>
        <v>0</v>
      </c>
      <c r="Z498" s="1">
        <f>DATE(tbl_Incidents[[#This Row],[Year]], tbl_Incidents[[#This Row],[Month]], 1)</f>
        <v>44713</v>
      </c>
      <c r="AA498" t="str">
        <f t="shared" si="7"/>
        <v>Pilbara Crusher Plant|2022-06</v>
      </c>
    </row>
    <row r="499" spans="1:27" x14ac:dyDescent="0.35">
      <c r="A499" t="s">
        <v>597</v>
      </c>
      <c r="B499" s="1">
        <v>44650</v>
      </c>
      <c r="C499">
        <v>2022</v>
      </c>
      <c r="D499">
        <v>3</v>
      </c>
      <c r="E499" t="s">
        <v>125</v>
      </c>
      <c r="F499" t="s">
        <v>53</v>
      </c>
      <c r="G499" t="s">
        <v>42</v>
      </c>
      <c r="H499" t="s">
        <v>28</v>
      </c>
      <c r="I499" t="s">
        <v>110</v>
      </c>
      <c r="J499" t="s">
        <v>61</v>
      </c>
      <c r="K499" t="s">
        <v>31</v>
      </c>
      <c r="L499" t="s">
        <v>95</v>
      </c>
      <c r="M499" t="s">
        <v>46</v>
      </c>
      <c r="N499">
        <v>13</v>
      </c>
      <c r="O499" t="s">
        <v>70</v>
      </c>
      <c r="P499" t="s">
        <v>47</v>
      </c>
      <c r="Q499" t="s">
        <v>76</v>
      </c>
      <c r="R499" t="s">
        <v>57</v>
      </c>
      <c r="S499" t="s">
        <v>38</v>
      </c>
      <c r="T499">
        <v>10</v>
      </c>
      <c r="U499">
        <v>65971</v>
      </c>
      <c r="V499">
        <v>1</v>
      </c>
      <c r="W499">
        <v>0</v>
      </c>
      <c r="X499">
        <v>1</v>
      </c>
      <c r="Y499">
        <f>IF(tbl_Incidents[[#This Row],[Lost_Time_Days]]&gt;0, 1, 0)</f>
        <v>1</v>
      </c>
      <c r="Z499" s="1">
        <f>DATE(tbl_Incidents[[#This Row],[Year]], tbl_Incidents[[#This Row],[Month]], 1)</f>
        <v>44621</v>
      </c>
      <c r="AA499" t="str">
        <f t="shared" si="7"/>
        <v>Darwin Port Facility|2022-03</v>
      </c>
    </row>
    <row r="500" spans="1:27" x14ac:dyDescent="0.35">
      <c r="A500" t="s">
        <v>598</v>
      </c>
      <c r="B500" s="1">
        <v>45248</v>
      </c>
      <c r="C500">
        <v>2023</v>
      </c>
      <c r="D500">
        <v>11</v>
      </c>
      <c r="E500" t="s">
        <v>107</v>
      </c>
      <c r="F500" t="s">
        <v>26</v>
      </c>
      <c r="G500" t="s">
        <v>78</v>
      </c>
      <c r="H500" t="s">
        <v>68</v>
      </c>
      <c r="I500" t="s">
        <v>54</v>
      </c>
      <c r="J500" t="s">
        <v>30</v>
      </c>
      <c r="K500" t="s">
        <v>31</v>
      </c>
      <c r="L500" t="s">
        <v>83</v>
      </c>
      <c r="M500" t="s">
        <v>46</v>
      </c>
      <c r="N500">
        <v>0</v>
      </c>
      <c r="O500" t="s">
        <v>34</v>
      </c>
      <c r="P500" t="s">
        <v>35</v>
      </c>
      <c r="Q500" t="s">
        <v>64</v>
      </c>
      <c r="R500" t="s">
        <v>57</v>
      </c>
      <c r="S500" t="s">
        <v>88</v>
      </c>
      <c r="T500">
        <v>10</v>
      </c>
      <c r="U500">
        <v>101000</v>
      </c>
      <c r="V500">
        <v>0</v>
      </c>
      <c r="W500">
        <v>0</v>
      </c>
      <c r="X500">
        <v>0</v>
      </c>
      <c r="Y500">
        <f>IF(tbl_Incidents[[#This Row],[Lost_Time_Days]]&gt;0, 1, 0)</f>
        <v>0</v>
      </c>
      <c r="Z500" s="1">
        <f>DATE(tbl_Incidents[[#This Row],[Year]], tbl_Incidents[[#This Row],[Month]], 1)</f>
        <v>45231</v>
      </c>
      <c r="AA500" t="str">
        <f t="shared" si="7"/>
        <v>Broome Logistics Hub|2023-11</v>
      </c>
    </row>
    <row r="501" spans="1:27" x14ac:dyDescent="0.35">
      <c r="A501" t="s">
        <v>599</v>
      </c>
      <c r="B501" s="1">
        <v>45043</v>
      </c>
      <c r="C501">
        <v>2023</v>
      </c>
      <c r="D501">
        <v>4</v>
      </c>
      <c r="E501" t="s">
        <v>40</v>
      </c>
      <c r="F501" t="s">
        <v>41</v>
      </c>
      <c r="G501" t="s">
        <v>42</v>
      </c>
      <c r="H501" t="s">
        <v>73</v>
      </c>
      <c r="I501" t="s">
        <v>44</v>
      </c>
      <c r="J501" t="s">
        <v>30</v>
      </c>
      <c r="K501" t="s">
        <v>31</v>
      </c>
      <c r="L501" t="s">
        <v>32</v>
      </c>
      <c r="M501" t="s">
        <v>56</v>
      </c>
      <c r="N501">
        <v>0</v>
      </c>
      <c r="O501" t="s">
        <v>63</v>
      </c>
      <c r="P501" t="s">
        <v>35</v>
      </c>
      <c r="Q501" t="s">
        <v>81</v>
      </c>
      <c r="R501" t="s">
        <v>57</v>
      </c>
      <c r="S501" t="s">
        <v>88</v>
      </c>
      <c r="T501">
        <v>11</v>
      </c>
      <c r="U501">
        <v>43966</v>
      </c>
      <c r="V501">
        <v>0</v>
      </c>
      <c r="W501">
        <v>0</v>
      </c>
      <c r="X501">
        <v>0</v>
      </c>
      <c r="Y501">
        <f>IF(tbl_Incidents[[#This Row],[Lost_Time_Days]]&gt;0, 1, 0)</f>
        <v>0</v>
      </c>
      <c r="Z501" s="1">
        <f>DATE(tbl_Incidents[[#This Row],[Year]], tbl_Incidents[[#This Row],[Month]], 1)</f>
        <v>45017</v>
      </c>
      <c r="AA501" t="str">
        <f t="shared" si="7"/>
        <v>Darwin Port Facility|2023-04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47073-C321-43D6-A6D4-6D1926885CAE}">
  <dimension ref="A1:F145"/>
  <sheetViews>
    <sheetView workbookViewId="0">
      <selection activeCell="B18" sqref="B18"/>
    </sheetView>
  </sheetViews>
  <sheetFormatPr defaultRowHeight="14.5" x14ac:dyDescent="0.35"/>
  <cols>
    <col min="1" max="1" width="35.1796875" customWidth="1"/>
    <col min="2" max="2" width="35.36328125" customWidth="1"/>
    <col min="3" max="4" width="15" customWidth="1"/>
  </cols>
  <sheetData>
    <row r="1" spans="1:6" x14ac:dyDescent="0.35">
      <c r="A1" t="s">
        <v>602</v>
      </c>
      <c r="B1" t="s">
        <v>6</v>
      </c>
      <c r="C1" t="s">
        <v>2</v>
      </c>
      <c r="D1" t="s">
        <v>603</v>
      </c>
      <c r="F1" t="s">
        <v>604</v>
      </c>
    </row>
    <row r="2" spans="1:6" x14ac:dyDescent="0.35">
      <c r="A2" t="str" cm="1">
        <f t="array" ref="A2:A145">_xlfn.UNIQUE('01_Data'!AA2:AA501)</f>
        <v>Thunderbird Mine|2023-10</v>
      </c>
      <c r="B2" t="str">
        <f>LEFT(A2, FIND("|",A2)-1)</f>
        <v>Thunderbird Mine</v>
      </c>
      <c r="C2">
        <f>VALUE(MID(A2, FIND("|",A2)+1, 4))</f>
        <v>2023</v>
      </c>
      <c r="D2">
        <f>_xlfn.MAXIFS('01_Data'!U:U, '01_Data'!AA:AA, A2)</f>
        <v>111237</v>
      </c>
      <c r="F2">
        <f>SUM(D2:D145)</f>
        <v>14492423</v>
      </c>
    </row>
    <row r="3" spans="1:6" x14ac:dyDescent="0.35">
      <c r="A3" t="str">
        <v>Darwin Port Facility|2022-04</v>
      </c>
      <c r="B3" t="str">
        <f t="shared" ref="B3:B66" si="0">LEFT(A3, FIND("|",A3)-1)</f>
        <v>Darwin Port Facility</v>
      </c>
      <c r="C3">
        <f t="shared" ref="C3:C66" si="1">VALUE(MID(A3, FIND("|",A3)+1, 4))</f>
        <v>2022</v>
      </c>
      <c r="D3">
        <f>_xlfn.MAXIFS('01_Data'!U:U, '01_Data'!AA:AA, A3)</f>
        <v>81307</v>
      </c>
      <c r="F3">
        <f t="shared" ref="F3:F66" si="2">SUM(D3:D146)</f>
        <v>14381186</v>
      </c>
    </row>
    <row r="4" spans="1:6" x14ac:dyDescent="0.35">
      <c r="A4" t="str">
        <v>Darwin Port Facility|2024-02</v>
      </c>
      <c r="B4" t="str">
        <f t="shared" si="0"/>
        <v>Darwin Port Facility</v>
      </c>
      <c r="C4">
        <f t="shared" si="1"/>
        <v>2024</v>
      </c>
      <c r="D4">
        <f>_xlfn.MAXIFS('01_Data'!U:U, '01_Data'!AA:AA, A4)</f>
        <v>89797</v>
      </c>
      <c r="F4">
        <f t="shared" si="2"/>
        <v>14299879</v>
      </c>
    </row>
    <row r="5" spans="1:6" x14ac:dyDescent="0.35">
      <c r="A5" t="str">
        <v>Pilbara Crusher Plant|2022-04</v>
      </c>
      <c r="B5" t="str">
        <f t="shared" si="0"/>
        <v>Pilbara Crusher Plant</v>
      </c>
      <c r="C5">
        <f t="shared" si="1"/>
        <v>2022</v>
      </c>
      <c r="D5">
        <f>_xlfn.MAXIFS('01_Data'!U:U, '01_Data'!AA:AA, A5)</f>
        <v>87400</v>
      </c>
      <c r="F5">
        <f t="shared" si="2"/>
        <v>14210082</v>
      </c>
    </row>
    <row r="6" spans="1:6" x14ac:dyDescent="0.35">
      <c r="A6" t="str">
        <v>Thunderbird Mine|2023-08</v>
      </c>
      <c r="B6" t="str">
        <f t="shared" si="0"/>
        <v>Thunderbird Mine</v>
      </c>
      <c r="C6">
        <f t="shared" si="1"/>
        <v>2023</v>
      </c>
      <c r="D6">
        <f>_xlfn.MAXIFS('01_Data'!U:U, '01_Data'!AA:AA, A6)</f>
        <v>90197</v>
      </c>
      <c r="F6">
        <f t="shared" si="2"/>
        <v>14122682</v>
      </c>
    </row>
    <row r="7" spans="1:6" x14ac:dyDescent="0.35">
      <c r="A7" t="str">
        <v>Pilbara Crusher Plant|2022-06</v>
      </c>
      <c r="B7" t="str">
        <f t="shared" si="0"/>
        <v>Pilbara Crusher Plant</v>
      </c>
      <c r="C7">
        <f t="shared" si="1"/>
        <v>2022</v>
      </c>
      <c r="D7">
        <f>_xlfn.MAXIFS('01_Data'!U:U, '01_Data'!AA:AA, A7)</f>
        <v>113133</v>
      </c>
      <c r="F7">
        <f t="shared" si="2"/>
        <v>14032485</v>
      </c>
    </row>
    <row r="8" spans="1:6" x14ac:dyDescent="0.35">
      <c r="A8" t="str">
        <v>Broome Logistics Hub|2022-10</v>
      </c>
      <c r="B8" t="str">
        <f t="shared" si="0"/>
        <v>Broome Logistics Hub</v>
      </c>
      <c r="C8">
        <f t="shared" si="1"/>
        <v>2022</v>
      </c>
      <c r="D8">
        <f>_xlfn.MAXIFS('01_Data'!U:U, '01_Data'!AA:AA, A8)</f>
        <v>91807</v>
      </c>
      <c r="F8">
        <f t="shared" si="2"/>
        <v>13919352</v>
      </c>
    </row>
    <row r="9" spans="1:6" x14ac:dyDescent="0.35">
      <c r="A9" t="str">
        <v>Pilbara Crusher Plant|2023-08</v>
      </c>
      <c r="B9" t="str">
        <f t="shared" si="0"/>
        <v>Pilbara Crusher Plant</v>
      </c>
      <c r="C9">
        <f t="shared" si="1"/>
        <v>2023</v>
      </c>
      <c r="D9">
        <f>_xlfn.MAXIFS('01_Data'!U:U, '01_Data'!AA:AA, A9)</f>
        <v>113579</v>
      </c>
      <c r="F9">
        <f t="shared" si="2"/>
        <v>13827545</v>
      </c>
    </row>
    <row r="10" spans="1:6" x14ac:dyDescent="0.35">
      <c r="A10" t="str">
        <v>Broome Logistics Hub|2023-07</v>
      </c>
      <c r="B10" t="str">
        <f t="shared" si="0"/>
        <v>Broome Logistics Hub</v>
      </c>
      <c r="C10">
        <f t="shared" si="1"/>
        <v>2023</v>
      </c>
      <c r="D10">
        <f>_xlfn.MAXIFS('01_Data'!U:U, '01_Data'!AA:AA, A10)</f>
        <v>54371</v>
      </c>
      <c r="F10">
        <f t="shared" si="2"/>
        <v>13713966</v>
      </c>
    </row>
    <row r="11" spans="1:6" x14ac:dyDescent="0.35">
      <c r="A11" t="str">
        <v>Darwin Port Facility|2022-06</v>
      </c>
      <c r="B11" t="str">
        <f t="shared" si="0"/>
        <v>Darwin Port Facility</v>
      </c>
      <c r="C11">
        <f t="shared" si="1"/>
        <v>2022</v>
      </c>
      <c r="D11">
        <f>_xlfn.MAXIFS('01_Data'!U:U, '01_Data'!AA:AA, A11)</f>
        <v>115582</v>
      </c>
      <c r="F11">
        <f t="shared" si="2"/>
        <v>13659595</v>
      </c>
    </row>
    <row r="12" spans="1:6" x14ac:dyDescent="0.35">
      <c r="A12" t="str">
        <v>Thunderbird Mine|2023-07</v>
      </c>
      <c r="B12" t="str">
        <f t="shared" si="0"/>
        <v>Thunderbird Mine</v>
      </c>
      <c r="C12">
        <f t="shared" si="1"/>
        <v>2023</v>
      </c>
      <c r="D12">
        <f>_xlfn.MAXIFS('01_Data'!U:U, '01_Data'!AA:AA, A12)</f>
        <v>107000</v>
      </c>
      <c r="F12">
        <f t="shared" si="2"/>
        <v>13544013</v>
      </c>
    </row>
    <row r="13" spans="1:6" x14ac:dyDescent="0.35">
      <c r="A13" t="str">
        <v>Pilbara Crusher Plant|2023-04</v>
      </c>
      <c r="B13" t="str">
        <f t="shared" si="0"/>
        <v>Pilbara Crusher Plant</v>
      </c>
      <c r="C13">
        <f t="shared" si="1"/>
        <v>2023</v>
      </c>
      <c r="D13">
        <f>_xlfn.MAXIFS('01_Data'!U:U, '01_Data'!AA:AA, A13)</f>
        <v>108690</v>
      </c>
      <c r="F13">
        <f t="shared" si="2"/>
        <v>13437013</v>
      </c>
    </row>
    <row r="14" spans="1:6" x14ac:dyDescent="0.35">
      <c r="A14" t="str">
        <v>Thunderbird Mine|2022-09</v>
      </c>
      <c r="B14" t="str">
        <f t="shared" si="0"/>
        <v>Thunderbird Mine</v>
      </c>
      <c r="C14">
        <f t="shared" si="1"/>
        <v>2022</v>
      </c>
      <c r="D14">
        <f>_xlfn.MAXIFS('01_Data'!U:U, '01_Data'!AA:AA, A14)</f>
        <v>117278</v>
      </c>
      <c r="F14">
        <f t="shared" si="2"/>
        <v>13328323</v>
      </c>
    </row>
    <row r="15" spans="1:6" x14ac:dyDescent="0.35">
      <c r="A15" t="str">
        <v>Broome Logistics Hub|2023-06</v>
      </c>
      <c r="B15" t="str">
        <f t="shared" si="0"/>
        <v>Broome Logistics Hub</v>
      </c>
      <c r="C15">
        <f t="shared" si="1"/>
        <v>2023</v>
      </c>
      <c r="D15">
        <f>_xlfn.MAXIFS('01_Data'!U:U, '01_Data'!AA:AA, A15)</f>
        <v>107839</v>
      </c>
      <c r="F15">
        <f t="shared" si="2"/>
        <v>13211045</v>
      </c>
    </row>
    <row r="16" spans="1:6" x14ac:dyDescent="0.35">
      <c r="A16" t="str">
        <v>Darwin Port Facility|2023-04</v>
      </c>
      <c r="B16" t="str">
        <f t="shared" si="0"/>
        <v>Darwin Port Facility</v>
      </c>
      <c r="C16">
        <f t="shared" si="1"/>
        <v>2023</v>
      </c>
      <c r="D16">
        <f>_xlfn.MAXIFS('01_Data'!U:U, '01_Data'!AA:AA, A16)</f>
        <v>99871</v>
      </c>
      <c r="F16">
        <f t="shared" si="2"/>
        <v>13103206</v>
      </c>
    </row>
    <row r="17" spans="1:6" x14ac:dyDescent="0.35">
      <c r="A17" t="str">
        <v>Pilbara Crusher Plant|2022-02</v>
      </c>
      <c r="B17" t="str">
        <f t="shared" si="0"/>
        <v>Pilbara Crusher Plant</v>
      </c>
      <c r="C17">
        <f t="shared" si="1"/>
        <v>2022</v>
      </c>
      <c r="D17">
        <f>_xlfn.MAXIFS('01_Data'!U:U, '01_Data'!AA:AA, A17)</f>
        <v>115525</v>
      </c>
      <c r="F17">
        <f t="shared" si="2"/>
        <v>13003335</v>
      </c>
    </row>
    <row r="18" spans="1:6" x14ac:dyDescent="0.35">
      <c r="A18" t="str">
        <v>Katherine Processing Site|2023-04</v>
      </c>
      <c r="B18" t="str">
        <f t="shared" si="0"/>
        <v>Katherine Processing Site</v>
      </c>
      <c r="C18">
        <f t="shared" si="1"/>
        <v>2023</v>
      </c>
      <c r="D18">
        <f>_xlfn.MAXIFS('01_Data'!U:U, '01_Data'!AA:AA, A18)</f>
        <v>106683</v>
      </c>
      <c r="F18">
        <f t="shared" si="2"/>
        <v>12887810</v>
      </c>
    </row>
    <row r="19" spans="1:6" x14ac:dyDescent="0.35">
      <c r="A19" t="str">
        <v>Thunderbird Mine|2023-11</v>
      </c>
      <c r="B19" t="str">
        <f t="shared" si="0"/>
        <v>Thunderbird Mine</v>
      </c>
      <c r="C19">
        <f t="shared" si="1"/>
        <v>2023</v>
      </c>
      <c r="D19">
        <f>_xlfn.MAXIFS('01_Data'!U:U, '01_Data'!AA:AA, A19)</f>
        <v>98800</v>
      </c>
      <c r="F19">
        <f t="shared" si="2"/>
        <v>12781127</v>
      </c>
    </row>
    <row r="20" spans="1:6" x14ac:dyDescent="0.35">
      <c r="A20" t="str">
        <v>Pilbara Crusher Plant|2022-05</v>
      </c>
      <c r="B20" t="str">
        <f t="shared" si="0"/>
        <v>Pilbara Crusher Plant</v>
      </c>
      <c r="C20">
        <f t="shared" si="1"/>
        <v>2022</v>
      </c>
      <c r="D20">
        <f>_xlfn.MAXIFS('01_Data'!U:U, '01_Data'!AA:AA, A20)</f>
        <v>70982</v>
      </c>
      <c r="F20">
        <f t="shared" si="2"/>
        <v>12682327</v>
      </c>
    </row>
    <row r="21" spans="1:6" x14ac:dyDescent="0.35">
      <c r="A21" t="str">
        <v>Katherine Processing Site|2023-05</v>
      </c>
      <c r="B21" t="str">
        <f t="shared" si="0"/>
        <v>Katherine Processing Site</v>
      </c>
      <c r="C21">
        <f t="shared" si="1"/>
        <v>2023</v>
      </c>
      <c r="D21">
        <f>_xlfn.MAXIFS('01_Data'!U:U, '01_Data'!AA:AA, A21)</f>
        <v>103788</v>
      </c>
      <c r="F21">
        <f t="shared" si="2"/>
        <v>12611345</v>
      </c>
    </row>
    <row r="22" spans="1:6" x14ac:dyDescent="0.35">
      <c r="A22" t="str">
        <v>Thunderbird Mine|2022-10</v>
      </c>
      <c r="B22" t="str">
        <f t="shared" si="0"/>
        <v>Thunderbird Mine</v>
      </c>
      <c r="C22">
        <f t="shared" si="1"/>
        <v>2022</v>
      </c>
      <c r="D22">
        <f>_xlfn.MAXIFS('01_Data'!U:U, '01_Data'!AA:AA, A22)</f>
        <v>109615</v>
      </c>
      <c r="F22">
        <f t="shared" si="2"/>
        <v>12507557</v>
      </c>
    </row>
    <row r="23" spans="1:6" x14ac:dyDescent="0.35">
      <c r="A23" t="str">
        <v>Broome Logistics Hub|2022-06</v>
      </c>
      <c r="B23" t="str">
        <f t="shared" si="0"/>
        <v>Broome Logistics Hub</v>
      </c>
      <c r="C23">
        <f t="shared" si="1"/>
        <v>2022</v>
      </c>
      <c r="D23">
        <f>_xlfn.MAXIFS('01_Data'!U:U, '01_Data'!AA:AA, A23)</f>
        <v>116544</v>
      </c>
      <c r="F23">
        <f t="shared" si="2"/>
        <v>12397942</v>
      </c>
    </row>
    <row r="24" spans="1:6" x14ac:dyDescent="0.35">
      <c r="A24" t="str">
        <v>Thunderbird Mine|2022-02</v>
      </c>
      <c r="B24" t="str">
        <f t="shared" si="0"/>
        <v>Thunderbird Mine</v>
      </c>
      <c r="C24">
        <f t="shared" si="1"/>
        <v>2022</v>
      </c>
      <c r="D24">
        <f>_xlfn.MAXIFS('01_Data'!U:U, '01_Data'!AA:AA, A24)</f>
        <v>111733</v>
      </c>
      <c r="F24">
        <f t="shared" si="2"/>
        <v>12281398</v>
      </c>
    </row>
    <row r="25" spans="1:6" x14ac:dyDescent="0.35">
      <c r="A25" t="str">
        <v>Pilbara Crusher Plant|2023-02</v>
      </c>
      <c r="B25" t="str">
        <f t="shared" si="0"/>
        <v>Pilbara Crusher Plant</v>
      </c>
      <c r="C25">
        <f t="shared" si="1"/>
        <v>2023</v>
      </c>
      <c r="D25">
        <f>_xlfn.MAXIFS('01_Data'!U:U, '01_Data'!AA:AA, A25)</f>
        <v>113905</v>
      </c>
      <c r="F25">
        <f t="shared" si="2"/>
        <v>12169665</v>
      </c>
    </row>
    <row r="26" spans="1:6" x14ac:dyDescent="0.35">
      <c r="A26" t="str">
        <v>Thunderbird Mine|2022-05</v>
      </c>
      <c r="B26" t="str">
        <f t="shared" si="0"/>
        <v>Thunderbird Mine</v>
      </c>
      <c r="C26">
        <f t="shared" si="1"/>
        <v>2022</v>
      </c>
      <c r="D26">
        <f>_xlfn.MAXIFS('01_Data'!U:U, '01_Data'!AA:AA, A26)</f>
        <v>110932</v>
      </c>
      <c r="F26">
        <f t="shared" si="2"/>
        <v>12055760</v>
      </c>
    </row>
    <row r="27" spans="1:6" x14ac:dyDescent="0.35">
      <c r="A27" t="str">
        <v>Darwin Port Facility|2023-11</v>
      </c>
      <c r="B27" t="str">
        <f t="shared" si="0"/>
        <v>Darwin Port Facility</v>
      </c>
      <c r="C27">
        <f t="shared" si="1"/>
        <v>2023</v>
      </c>
      <c r="D27">
        <f>_xlfn.MAXIFS('01_Data'!U:U, '01_Data'!AA:AA, A27)</f>
        <v>99890</v>
      </c>
      <c r="F27">
        <f t="shared" si="2"/>
        <v>11944828</v>
      </c>
    </row>
    <row r="28" spans="1:6" x14ac:dyDescent="0.35">
      <c r="A28" t="str">
        <v>Pilbara Crusher Plant|2023-10</v>
      </c>
      <c r="B28" t="str">
        <f t="shared" si="0"/>
        <v>Pilbara Crusher Plant</v>
      </c>
      <c r="C28">
        <f t="shared" si="1"/>
        <v>2023</v>
      </c>
      <c r="D28">
        <f>_xlfn.MAXIFS('01_Data'!U:U, '01_Data'!AA:AA, A28)</f>
        <v>118753</v>
      </c>
      <c r="F28">
        <f t="shared" si="2"/>
        <v>11844938</v>
      </c>
    </row>
    <row r="29" spans="1:6" x14ac:dyDescent="0.35">
      <c r="A29" t="str">
        <v>Darwin Port Facility|2022-12</v>
      </c>
      <c r="B29" t="str">
        <f t="shared" si="0"/>
        <v>Darwin Port Facility</v>
      </c>
      <c r="C29">
        <f t="shared" si="1"/>
        <v>2022</v>
      </c>
      <c r="D29">
        <f>_xlfn.MAXIFS('01_Data'!U:U, '01_Data'!AA:AA, A29)</f>
        <v>83036</v>
      </c>
      <c r="F29">
        <f t="shared" si="2"/>
        <v>11726185</v>
      </c>
    </row>
    <row r="30" spans="1:6" x14ac:dyDescent="0.35">
      <c r="A30" t="str">
        <v>Darwin Port Facility|2022-03</v>
      </c>
      <c r="B30" t="str">
        <f t="shared" si="0"/>
        <v>Darwin Port Facility</v>
      </c>
      <c r="C30">
        <f t="shared" si="1"/>
        <v>2022</v>
      </c>
      <c r="D30">
        <f>_xlfn.MAXIFS('01_Data'!U:U, '01_Data'!AA:AA, A30)</f>
        <v>96148</v>
      </c>
      <c r="F30">
        <f t="shared" si="2"/>
        <v>11643149</v>
      </c>
    </row>
    <row r="31" spans="1:6" x14ac:dyDescent="0.35">
      <c r="A31" t="str">
        <v>Thunderbird Mine|2024-03</v>
      </c>
      <c r="B31" t="str">
        <f t="shared" si="0"/>
        <v>Thunderbird Mine</v>
      </c>
      <c r="C31">
        <f t="shared" si="1"/>
        <v>2024</v>
      </c>
      <c r="D31">
        <f>_xlfn.MAXIFS('01_Data'!U:U, '01_Data'!AA:AA, A31)</f>
        <v>60257</v>
      </c>
      <c r="F31">
        <f t="shared" si="2"/>
        <v>11547001</v>
      </c>
    </row>
    <row r="32" spans="1:6" x14ac:dyDescent="0.35">
      <c r="A32" t="str">
        <v>Darwin Port Facility|2022-08</v>
      </c>
      <c r="B32" t="str">
        <f t="shared" si="0"/>
        <v>Darwin Port Facility</v>
      </c>
      <c r="C32">
        <f t="shared" si="1"/>
        <v>2022</v>
      </c>
      <c r="D32">
        <f>_xlfn.MAXIFS('01_Data'!U:U, '01_Data'!AA:AA, A32)</f>
        <v>112305</v>
      </c>
      <c r="F32">
        <f t="shared" si="2"/>
        <v>11486744</v>
      </c>
    </row>
    <row r="33" spans="1:6" x14ac:dyDescent="0.35">
      <c r="A33" t="str">
        <v>Thunderbird Mine|2023-01</v>
      </c>
      <c r="B33" t="str">
        <f t="shared" si="0"/>
        <v>Thunderbird Mine</v>
      </c>
      <c r="C33">
        <f t="shared" si="1"/>
        <v>2023</v>
      </c>
      <c r="D33">
        <f>_xlfn.MAXIFS('01_Data'!U:U, '01_Data'!AA:AA, A33)</f>
        <v>109534</v>
      </c>
      <c r="F33">
        <f t="shared" si="2"/>
        <v>11374439</v>
      </c>
    </row>
    <row r="34" spans="1:6" x14ac:dyDescent="0.35">
      <c r="A34" t="str">
        <v>Katherine Processing Site|2023-11</v>
      </c>
      <c r="B34" t="str">
        <f t="shared" si="0"/>
        <v>Katherine Processing Site</v>
      </c>
      <c r="C34">
        <f t="shared" si="1"/>
        <v>2023</v>
      </c>
      <c r="D34">
        <f>_xlfn.MAXIFS('01_Data'!U:U, '01_Data'!AA:AA, A34)</f>
        <v>74237</v>
      </c>
      <c r="F34">
        <f t="shared" si="2"/>
        <v>11264905</v>
      </c>
    </row>
    <row r="35" spans="1:6" x14ac:dyDescent="0.35">
      <c r="A35" t="str">
        <v>Pilbara Crusher Plant|2022-07</v>
      </c>
      <c r="B35" t="str">
        <f t="shared" si="0"/>
        <v>Pilbara Crusher Plant</v>
      </c>
      <c r="C35">
        <f t="shared" si="1"/>
        <v>2022</v>
      </c>
      <c r="D35">
        <f>_xlfn.MAXIFS('01_Data'!U:U, '01_Data'!AA:AA, A35)</f>
        <v>102787</v>
      </c>
      <c r="F35">
        <f t="shared" si="2"/>
        <v>11190668</v>
      </c>
    </row>
    <row r="36" spans="1:6" x14ac:dyDescent="0.35">
      <c r="A36" t="str">
        <v>Darwin Port Facility|2023-01</v>
      </c>
      <c r="B36" t="str">
        <f t="shared" si="0"/>
        <v>Darwin Port Facility</v>
      </c>
      <c r="C36">
        <f t="shared" si="1"/>
        <v>2023</v>
      </c>
      <c r="D36">
        <f>_xlfn.MAXIFS('01_Data'!U:U, '01_Data'!AA:AA, A36)</f>
        <v>103788</v>
      </c>
      <c r="F36">
        <f t="shared" si="2"/>
        <v>11087881</v>
      </c>
    </row>
    <row r="37" spans="1:6" x14ac:dyDescent="0.35">
      <c r="A37" t="str">
        <v>Pilbara Crusher Plant|2022-03</v>
      </c>
      <c r="B37" t="str">
        <f t="shared" si="0"/>
        <v>Pilbara Crusher Plant</v>
      </c>
      <c r="C37">
        <f t="shared" si="1"/>
        <v>2022</v>
      </c>
      <c r="D37">
        <f>_xlfn.MAXIFS('01_Data'!U:U, '01_Data'!AA:AA, A37)</f>
        <v>106263</v>
      </c>
      <c r="F37">
        <f t="shared" si="2"/>
        <v>10984093</v>
      </c>
    </row>
    <row r="38" spans="1:6" x14ac:dyDescent="0.35">
      <c r="A38" t="str">
        <v>Katherine Processing Site|2022-05</v>
      </c>
      <c r="B38" t="str">
        <f t="shared" si="0"/>
        <v>Katherine Processing Site</v>
      </c>
      <c r="C38">
        <f t="shared" si="1"/>
        <v>2022</v>
      </c>
      <c r="D38">
        <f>_xlfn.MAXIFS('01_Data'!U:U, '01_Data'!AA:AA, A38)</f>
        <v>119807</v>
      </c>
      <c r="F38">
        <f t="shared" si="2"/>
        <v>10877830</v>
      </c>
    </row>
    <row r="39" spans="1:6" x14ac:dyDescent="0.35">
      <c r="A39" t="str">
        <v>Pilbara Crusher Plant|2022-08</v>
      </c>
      <c r="B39" t="str">
        <f t="shared" si="0"/>
        <v>Pilbara Crusher Plant</v>
      </c>
      <c r="C39">
        <f t="shared" si="1"/>
        <v>2022</v>
      </c>
      <c r="D39">
        <f>_xlfn.MAXIFS('01_Data'!U:U, '01_Data'!AA:AA, A39)</f>
        <v>94377</v>
      </c>
      <c r="F39">
        <f t="shared" si="2"/>
        <v>10758023</v>
      </c>
    </row>
    <row r="40" spans="1:6" x14ac:dyDescent="0.35">
      <c r="A40" t="str">
        <v>Broome Logistics Hub|2023-02</v>
      </c>
      <c r="B40" t="str">
        <f t="shared" si="0"/>
        <v>Broome Logistics Hub</v>
      </c>
      <c r="C40">
        <f t="shared" si="1"/>
        <v>2023</v>
      </c>
      <c r="D40">
        <f>_xlfn.MAXIFS('01_Data'!U:U, '01_Data'!AA:AA, A40)</f>
        <v>102957</v>
      </c>
      <c r="F40">
        <f t="shared" si="2"/>
        <v>10663646</v>
      </c>
    </row>
    <row r="41" spans="1:6" x14ac:dyDescent="0.35">
      <c r="A41" t="str">
        <v>Pilbara Crusher Plant|2023-05</v>
      </c>
      <c r="B41" t="str">
        <f t="shared" si="0"/>
        <v>Pilbara Crusher Plant</v>
      </c>
      <c r="C41">
        <f t="shared" si="1"/>
        <v>2023</v>
      </c>
      <c r="D41">
        <f>_xlfn.MAXIFS('01_Data'!U:U, '01_Data'!AA:AA, A41)</f>
        <v>103654</v>
      </c>
      <c r="F41">
        <f t="shared" si="2"/>
        <v>10560689</v>
      </c>
    </row>
    <row r="42" spans="1:6" x14ac:dyDescent="0.35">
      <c r="A42" t="str">
        <v>Katherine Processing Site|2022-12</v>
      </c>
      <c r="B42" t="str">
        <f t="shared" si="0"/>
        <v>Katherine Processing Site</v>
      </c>
      <c r="C42">
        <f t="shared" si="1"/>
        <v>2022</v>
      </c>
      <c r="D42">
        <f>_xlfn.MAXIFS('01_Data'!U:U, '01_Data'!AA:AA, A42)</f>
        <v>61542</v>
      </c>
      <c r="F42">
        <f t="shared" si="2"/>
        <v>10457035</v>
      </c>
    </row>
    <row r="43" spans="1:6" x14ac:dyDescent="0.35">
      <c r="A43" t="str">
        <v>Katherine Processing Site|2023-10</v>
      </c>
      <c r="B43" t="str">
        <f t="shared" si="0"/>
        <v>Katherine Processing Site</v>
      </c>
      <c r="C43">
        <f t="shared" si="1"/>
        <v>2023</v>
      </c>
      <c r="D43">
        <f>_xlfn.MAXIFS('01_Data'!U:U, '01_Data'!AA:AA, A43)</f>
        <v>95836</v>
      </c>
      <c r="F43">
        <f t="shared" si="2"/>
        <v>10395493</v>
      </c>
    </row>
    <row r="44" spans="1:6" x14ac:dyDescent="0.35">
      <c r="A44" t="str">
        <v>Thunderbird Mine|2024-05</v>
      </c>
      <c r="B44" t="str">
        <f t="shared" si="0"/>
        <v>Thunderbird Mine</v>
      </c>
      <c r="C44">
        <f t="shared" si="1"/>
        <v>2024</v>
      </c>
      <c r="D44">
        <f>_xlfn.MAXIFS('01_Data'!U:U, '01_Data'!AA:AA, A44)</f>
        <v>104297</v>
      </c>
      <c r="F44">
        <f t="shared" si="2"/>
        <v>10299657</v>
      </c>
    </row>
    <row r="45" spans="1:6" x14ac:dyDescent="0.35">
      <c r="A45" t="str">
        <v>Darwin Port Facility|2023-09</v>
      </c>
      <c r="B45" t="str">
        <f t="shared" si="0"/>
        <v>Darwin Port Facility</v>
      </c>
      <c r="C45">
        <f t="shared" si="1"/>
        <v>2023</v>
      </c>
      <c r="D45">
        <f>_xlfn.MAXIFS('01_Data'!U:U, '01_Data'!AA:AA, A45)</f>
        <v>119593</v>
      </c>
      <c r="F45">
        <f t="shared" si="2"/>
        <v>10195360</v>
      </c>
    </row>
    <row r="46" spans="1:6" x14ac:dyDescent="0.35">
      <c r="A46" t="str">
        <v>Thunderbird Mine|2024-02</v>
      </c>
      <c r="B46" t="str">
        <f t="shared" si="0"/>
        <v>Thunderbird Mine</v>
      </c>
      <c r="C46">
        <f t="shared" si="1"/>
        <v>2024</v>
      </c>
      <c r="D46">
        <f>_xlfn.MAXIFS('01_Data'!U:U, '01_Data'!AA:AA, A46)</f>
        <v>102797</v>
      </c>
      <c r="F46">
        <f t="shared" si="2"/>
        <v>10075767</v>
      </c>
    </row>
    <row r="47" spans="1:6" x14ac:dyDescent="0.35">
      <c r="A47" t="str">
        <v>Broome Logistics Hub|2023-03</v>
      </c>
      <c r="B47" t="str">
        <f t="shared" si="0"/>
        <v>Broome Logistics Hub</v>
      </c>
      <c r="C47">
        <f t="shared" si="1"/>
        <v>2023</v>
      </c>
      <c r="D47">
        <f>_xlfn.MAXIFS('01_Data'!U:U, '01_Data'!AA:AA, A47)</f>
        <v>119450</v>
      </c>
      <c r="F47">
        <f t="shared" si="2"/>
        <v>9972970</v>
      </c>
    </row>
    <row r="48" spans="1:6" x14ac:dyDescent="0.35">
      <c r="A48" t="str">
        <v>Katherine Processing Site|2022-09</v>
      </c>
      <c r="B48" t="str">
        <f t="shared" si="0"/>
        <v>Katherine Processing Site</v>
      </c>
      <c r="C48">
        <f t="shared" si="1"/>
        <v>2022</v>
      </c>
      <c r="D48">
        <f>_xlfn.MAXIFS('01_Data'!U:U, '01_Data'!AA:AA, A48)</f>
        <v>109722</v>
      </c>
      <c r="F48">
        <f t="shared" si="2"/>
        <v>9853520</v>
      </c>
    </row>
    <row r="49" spans="1:6" x14ac:dyDescent="0.35">
      <c r="A49" t="str">
        <v>Broome Logistics Hub|2024-02</v>
      </c>
      <c r="B49" t="str">
        <f t="shared" si="0"/>
        <v>Broome Logistics Hub</v>
      </c>
      <c r="C49">
        <f t="shared" si="1"/>
        <v>2024</v>
      </c>
      <c r="D49">
        <f>_xlfn.MAXIFS('01_Data'!U:U, '01_Data'!AA:AA, A49)</f>
        <v>110010</v>
      </c>
      <c r="F49">
        <f t="shared" si="2"/>
        <v>9743798</v>
      </c>
    </row>
    <row r="50" spans="1:6" x14ac:dyDescent="0.35">
      <c r="A50" t="str">
        <v>Darwin Port Facility|2023-05</v>
      </c>
      <c r="B50" t="str">
        <f t="shared" si="0"/>
        <v>Darwin Port Facility</v>
      </c>
      <c r="C50">
        <f t="shared" si="1"/>
        <v>2023</v>
      </c>
      <c r="D50">
        <f>_xlfn.MAXIFS('01_Data'!U:U, '01_Data'!AA:AA, A50)</f>
        <v>115757</v>
      </c>
      <c r="F50">
        <f t="shared" si="2"/>
        <v>9633788</v>
      </c>
    </row>
    <row r="51" spans="1:6" x14ac:dyDescent="0.35">
      <c r="A51" t="str">
        <v>Pilbara Crusher Plant|2024-04</v>
      </c>
      <c r="B51" t="str">
        <f t="shared" si="0"/>
        <v>Pilbara Crusher Plant</v>
      </c>
      <c r="C51">
        <f t="shared" si="1"/>
        <v>2024</v>
      </c>
      <c r="D51">
        <f>_xlfn.MAXIFS('01_Data'!U:U, '01_Data'!AA:AA, A51)</f>
        <v>108494</v>
      </c>
      <c r="F51">
        <f t="shared" si="2"/>
        <v>9518031</v>
      </c>
    </row>
    <row r="52" spans="1:6" x14ac:dyDescent="0.35">
      <c r="A52" t="str">
        <v>Katherine Processing Site|2023-01</v>
      </c>
      <c r="B52" t="str">
        <f t="shared" si="0"/>
        <v>Katherine Processing Site</v>
      </c>
      <c r="C52">
        <f t="shared" si="1"/>
        <v>2023</v>
      </c>
      <c r="D52">
        <f>_xlfn.MAXIFS('01_Data'!U:U, '01_Data'!AA:AA, A52)</f>
        <v>119777</v>
      </c>
      <c r="F52">
        <f t="shared" si="2"/>
        <v>9409537</v>
      </c>
    </row>
    <row r="53" spans="1:6" x14ac:dyDescent="0.35">
      <c r="A53" t="str">
        <v>Pilbara Crusher Plant|2022-10</v>
      </c>
      <c r="B53" t="str">
        <f t="shared" si="0"/>
        <v>Pilbara Crusher Plant</v>
      </c>
      <c r="C53">
        <f t="shared" si="1"/>
        <v>2022</v>
      </c>
      <c r="D53">
        <f>_xlfn.MAXIFS('01_Data'!U:U, '01_Data'!AA:AA, A53)</f>
        <v>107720</v>
      </c>
      <c r="F53">
        <f t="shared" si="2"/>
        <v>9289760</v>
      </c>
    </row>
    <row r="54" spans="1:6" x14ac:dyDescent="0.35">
      <c r="A54" t="str">
        <v>Darwin Port Facility|2023-07</v>
      </c>
      <c r="B54" t="str">
        <f t="shared" si="0"/>
        <v>Darwin Port Facility</v>
      </c>
      <c r="C54">
        <f t="shared" si="1"/>
        <v>2023</v>
      </c>
      <c r="D54">
        <f>_xlfn.MAXIFS('01_Data'!U:U, '01_Data'!AA:AA, A54)</f>
        <v>112754</v>
      </c>
      <c r="F54">
        <f t="shared" si="2"/>
        <v>9182040</v>
      </c>
    </row>
    <row r="55" spans="1:6" x14ac:dyDescent="0.35">
      <c r="A55" t="str">
        <v>Broome Logistics Hub|2024-01</v>
      </c>
      <c r="B55" t="str">
        <f t="shared" si="0"/>
        <v>Broome Logistics Hub</v>
      </c>
      <c r="C55">
        <f t="shared" si="1"/>
        <v>2024</v>
      </c>
      <c r="D55">
        <f>_xlfn.MAXIFS('01_Data'!U:U, '01_Data'!AA:AA, A55)</f>
        <v>105035</v>
      </c>
      <c r="F55">
        <f t="shared" si="2"/>
        <v>9069286</v>
      </c>
    </row>
    <row r="56" spans="1:6" x14ac:dyDescent="0.35">
      <c r="A56" t="str">
        <v>Katherine Processing Site|2023-06</v>
      </c>
      <c r="B56" t="str">
        <f t="shared" si="0"/>
        <v>Katherine Processing Site</v>
      </c>
      <c r="C56">
        <f t="shared" si="1"/>
        <v>2023</v>
      </c>
      <c r="D56">
        <f>_xlfn.MAXIFS('01_Data'!U:U, '01_Data'!AA:AA, A56)</f>
        <v>91505</v>
      </c>
      <c r="F56">
        <f t="shared" si="2"/>
        <v>8964251</v>
      </c>
    </row>
    <row r="57" spans="1:6" x14ac:dyDescent="0.35">
      <c r="A57" t="str">
        <v>Thunderbird Mine|2022-11</v>
      </c>
      <c r="B57" t="str">
        <f t="shared" si="0"/>
        <v>Thunderbird Mine</v>
      </c>
      <c r="C57">
        <f t="shared" si="1"/>
        <v>2022</v>
      </c>
      <c r="D57">
        <f>_xlfn.MAXIFS('01_Data'!U:U, '01_Data'!AA:AA, A57)</f>
        <v>99614</v>
      </c>
      <c r="F57">
        <f t="shared" si="2"/>
        <v>8872746</v>
      </c>
    </row>
    <row r="58" spans="1:6" x14ac:dyDescent="0.35">
      <c r="A58" t="str">
        <v>Darwin Port Facility|2023-10</v>
      </c>
      <c r="B58" t="str">
        <f t="shared" si="0"/>
        <v>Darwin Port Facility</v>
      </c>
      <c r="C58">
        <f t="shared" si="1"/>
        <v>2023</v>
      </c>
      <c r="D58">
        <f>_xlfn.MAXIFS('01_Data'!U:U, '01_Data'!AA:AA, A58)</f>
        <v>83478</v>
      </c>
      <c r="F58">
        <f t="shared" si="2"/>
        <v>8773132</v>
      </c>
    </row>
    <row r="59" spans="1:6" x14ac:dyDescent="0.35">
      <c r="A59" t="str">
        <v>Broome Logistics Hub|2023-01</v>
      </c>
      <c r="B59" t="str">
        <f t="shared" si="0"/>
        <v>Broome Logistics Hub</v>
      </c>
      <c r="C59">
        <f t="shared" si="1"/>
        <v>2023</v>
      </c>
      <c r="D59">
        <f>_xlfn.MAXIFS('01_Data'!U:U, '01_Data'!AA:AA, A59)</f>
        <v>89807</v>
      </c>
      <c r="F59">
        <f t="shared" si="2"/>
        <v>8689654</v>
      </c>
    </row>
    <row r="60" spans="1:6" x14ac:dyDescent="0.35">
      <c r="A60" t="str">
        <v>Darwin Port Facility|2022-01</v>
      </c>
      <c r="B60" t="str">
        <f t="shared" si="0"/>
        <v>Darwin Port Facility</v>
      </c>
      <c r="C60">
        <f t="shared" si="1"/>
        <v>2022</v>
      </c>
      <c r="D60">
        <f>_xlfn.MAXIFS('01_Data'!U:U, '01_Data'!AA:AA, A60)</f>
        <v>110471</v>
      </c>
      <c r="F60">
        <f t="shared" si="2"/>
        <v>8599847</v>
      </c>
    </row>
    <row r="61" spans="1:6" x14ac:dyDescent="0.35">
      <c r="A61" t="str">
        <v>Broome Logistics Hub|2024-05</v>
      </c>
      <c r="B61" t="str">
        <f t="shared" si="0"/>
        <v>Broome Logistics Hub</v>
      </c>
      <c r="C61">
        <f t="shared" si="1"/>
        <v>2024</v>
      </c>
      <c r="D61">
        <f>_xlfn.MAXIFS('01_Data'!U:U, '01_Data'!AA:AA, A61)</f>
        <v>103857</v>
      </c>
      <c r="F61">
        <f t="shared" si="2"/>
        <v>8489376</v>
      </c>
    </row>
    <row r="62" spans="1:6" x14ac:dyDescent="0.35">
      <c r="A62" t="str">
        <v>Thunderbird Mine|2022-06</v>
      </c>
      <c r="B62" t="str">
        <f t="shared" si="0"/>
        <v>Thunderbird Mine</v>
      </c>
      <c r="C62">
        <f t="shared" si="1"/>
        <v>2022</v>
      </c>
      <c r="D62">
        <f>_xlfn.MAXIFS('01_Data'!U:U, '01_Data'!AA:AA, A62)</f>
        <v>96911</v>
      </c>
      <c r="F62">
        <f t="shared" si="2"/>
        <v>8385519</v>
      </c>
    </row>
    <row r="63" spans="1:6" x14ac:dyDescent="0.35">
      <c r="A63" t="str">
        <v>Thunderbird Mine|2023-04</v>
      </c>
      <c r="B63" t="str">
        <f t="shared" si="0"/>
        <v>Thunderbird Mine</v>
      </c>
      <c r="C63">
        <f t="shared" si="1"/>
        <v>2023</v>
      </c>
      <c r="D63">
        <f>_xlfn.MAXIFS('01_Data'!U:U, '01_Data'!AA:AA, A63)</f>
        <v>119194</v>
      </c>
      <c r="F63">
        <f t="shared" si="2"/>
        <v>8288608</v>
      </c>
    </row>
    <row r="64" spans="1:6" x14ac:dyDescent="0.35">
      <c r="A64" t="str">
        <v>Thunderbird Mine|2023-12</v>
      </c>
      <c r="B64" t="str">
        <f t="shared" si="0"/>
        <v>Thunderbird Mine</v>
      </c>
      <c r="C64">
        <f t="shared" si="1"/>
        <v>2023</v>
      </c>
      <c r="D64">
        <f>_xlfn.MAXIFS('01_Data'!U:U, '01_Data'!AA:AA, A64)</f>
        <v>119569</v>
      </c>
      <c r="F64">
        <f t="shared" si="2"/>
        <v>8169414</v>
      </c>
    </row>
    <row r="65" spans="1:6" x14ac:dyDescent="0.35">
      <c r="A65" t="str">
        <v>Darwin Port Facility|2024-04</v>
      </c>
      <c r="B65" t="str">
        <f t="shared" si="0"/>
        <v>Darwin Port Facility</v>
      </c>
      <c r="C65">
        <f t="shared" si="1"/>
        <v>2024</v>
      </c>
      <c r="D65">
        <f>_xlfn.MAXIFS('01_Data'!U:U, '01_Data'!AA:AA, A65)</f>
        <v>78462</v>
      </c>
      <c r="F65">
        <f t="shared" si="2"/>
        <v>8049845</v>
      </c>
    </row>
    <row r="66" spans="1:6" x14ac:dyDescent="0.35">
      <c r="A66" t="str">
        <v>Darwin Port Facility|2023-08</v>
      </c>
      <c r="B66" t="str">
        <f t="shared" si="0"/>
        <v>Darwin Port Facility</v>
      </c>
      <c r="C66">
        <f t="shared" si="1"/>
        <v>2023</v>
      </c>
      <c r="D66">
        <f>_xlfn.MAXIFS('01_Data'!U:U, '01_Data'!AA:AA, A66)</f>
        <v>109579</v>
      </c>
      <c r="F66">
        <f t="shared" si="2"/>
        <v>7971383</v>
      </c>
    </row>
    <row r="67" spans="1:6" x14ac:dyDescent="0.35">
      <c r="A67" t="str">
        <v>Katherine Processing Site|2024-05</v>
      </c>
      <c r="B67" t="str">
        <f t="shared" ref="B67:B130" si="3">LEFT(A67, FIND("|",A67)-1)</f>
        <v>Katherine Processing Site</v>
      </c>
      <c r="C67">
        <f t="shared" ref="C67:C130" si="4">VALUE(MID(A67, FIND("|",A67)+1, 4))</f>
        <v>2024</v>
      </c>
      <c r="D67">
        <f>_xlfn.MAXIFS('01_Data'!U:U, '01_Data'!AA:AA, A67)</f>
        <v>119310</v>
      </c>
      <c r="F67">
        <f t="shared" ref="F67:F130" si="5">SUM(D67:D210)</f>
        <v>7861804</v>
      </c>
    </row>
    <row r="68" spans="1:6" x14ac:dyDescent="0.35">
      <c r="A68" t="str">
        <v>Pilbara Crusher Plant|2023-01</v>
      </c>
      <c r="B68" t="str">
        <f t="shared" si="3"/>
        <v>Pilbara Crusher Plant</v>
      </c>
      <c r="C68">
        <f t="shared" si="4"/>
        <v>2023</v>
      </c>
      <c r="D68">
        <f>_xlfn.MAXIFS('01_Data'!U:U, '01_Data'!AA:AA, A68)</f>
        <v>113584</v>
      </c>
      <c r="F68">
        <f t="shared" si="5"/>
        <v>7742494</v>
      </c>
    </row>
    <row r="69" spans="1:6" x14ac:dyDescent="0.35">
      <c r="A69" t="str">
        <v>Katherine Processing Site|2022-02</v>
      </c>
      <c r="B69" t="str">
        <f t="shared" si="3"/>
        <v>Katherine Processing Site</v>
      </c>
      <c r="C69">
        <f t="shared" si="4"/>
        <v>2022</v>
      </c>
      <c r="D69">
        <f>_xlfn.MAXIFS('01_Data'!U:U, '01_Data'!AA:AA, A69)</f>
        <v>116983</v>
      </c>
      <c r="F69">
        <f t="shared" si="5"/>
        <v>7628910</v>
      </c>
    </row>
    <row r="70" spans="1:6" x14ac:dyDescent="0.35">
      <c r="A70" t="str">
        <v>Darwin Port Facility|2024-01</v>
      </c>
      <c r="B70" t="str">
        <f t="shared" si="3"/>
        <v>Darwin Port Facility</v>
      </c>
      <c r="C70">
        <f t="shared" si="4"/>
        <v>2024</v>
      </c>
      <c r="D70">
        <f>_xlfn.MAXIFS('01_Data'!U:U, '01_Data'!AA:AA, A70)</f>
        <v>105483</v>
      </c>
      <c r="F70">
        <f t="shared" si="5"/>
        <v>7511927</v>
      </c>
    </row>
    <row r="71" spans="1:6" x14ac:dyDescent="0.35">
      <c r="A71" t="str">
        <v>Broome Logistics Hub|2024-04</v>
      </c>
      <c r="B71" t="str">
        <f t="shared" si="3"/>
        <v>Broome Logistics Hub</v>
      </c>
      <c r="C71">
        <f t="shared" si="4"/>
        <v>2024</v>
      </c>
      <c r="D71">
        <f>_xlfn.MAXIFS('01_Data'!U:U, '01_Data'!AA:AA, A71)</f>
        <v>118802</v>
      </c>
      <c r="F71">
        <f t="shared" si="5"/>
        <v>7406444</v>
      </c>
    </row>
    <row r="72" spans="1:6" x14ac:dyDescent="0.35">
      <c r="A72" t="str">
        <v>Darwin Port Facility|2024-05</v>
      </c>
      <c r="B72" t="str">
        <f t="shared" si="3"/>
        <v>Darwin Port Facility</v>
      </c>
      <c r="C72">
        <f t="shared" si="4"/>
        <v>2024</v>
      </c>
      <c r="D72">
        <f>_xlfn.MAXIFS('01_Data'!U:U, '01_Data'!AA:AA, A72)</f>
        <v>117182</v>
      </c>
      <c r="F72">
        <f t="shared" si="5"/>
        <v>7287642</v>
      </c>
    </row>
    <row r="73" spans="1:6" x14ac:dyDescent="0.35">
      <c r="A73" t="str">
        <v>Darwin Port Facility|2022-11</v>
      </c>
      <c r="B73" t="str">
        <f t="shared" si="3"/>
        <v>Darwin Port Facility</v>
      </c>
      <c r="C73">
        <f t="shared" si="4"/>
        <v>2022</v>
      </c>
      <c r="D73">
        <f>_xlfn.MAXIFS('01_Data'!U:U, '01_Data'!AA:AA, A73)</f>
        <v>117814</v>
      </c>
      <c r="F73">
        <f t="shared" si="5"/>
        <v>7170460</v>
      </c>
    </row>
    <row r="74" spans="1:6" x14ac:dyDescent="0.35">
      <c r="A74" t="str">
        <v>Thunderbird Mine|2023-06</v>
      </c>
      <c r="B74" t="str">
        <f t="shared" si="3"/>
        <v>Thunderbird Mine</v>
      </c>
      <c r="C74">
        <f t="shared" si="4"/>
        <v>2023</v>
      </c>
      <c r="D74">
        <f>_xlfn.MAXIFS('01_Data'!U:U, '01_Data'!AA:AA, A74)</f>
        <v>98065</v>
      </c>
      <c r="F74">
        <f t="shared" si="5"/>
        <v>7052646</v>
      </c>
    </row>
    <row r="75" spans="1:6" x14ac:dyDescent="0.35">
      <c r="A75" t="str">
        <v>Thunderbird Mine|2023-09</v>
      </c>
      <c r="B75" t="str">
        <f t="shared" si="3"/>
        <v>Thunderbird Mine</v>
      </c>
      <c r="C75">
        <f t="shared" si="4"/>
        <v>2023</v>
      </c>
      <c r="D75">
        <f>_xlfn.MAXIFS('01_Data'!U:U, '01_Data'!AA:AA, A75)</f>
        <v>119570</v>
      </c>
      <c r="F75">
        <f t="shared" si="5"/>
        <v>6954581</v>
      </c>
    </row>
    <row r="76" spans="1:6" x14ac:dyDescent="0.35">
      <c r="A76" t="str">
        <v>Pilbara Crusher Plant|2022-11</v>
      </c>
      <c r="B76" t="str">
        <f t="shared" si="3"/>
        <v>Pilbara Crusher Plant</v>
      </c>
      <c r="C76">
        <f t="shared" si="4"/>
        <v>2022</v>
      </c>
      <c r="D76">
        <f>_xlfn.MAXIFS('01_Data'!U:U, '01_Data'!AA:AA, A76)</f>
        <v>99020</v>
      </c>
      <c r="F76">
        <f t="shared" si="5"/>
        <v>6835011</v>
      </c>
    </row>
    <row r="77" spans="1:6" x14ac:dyDescent="0.35">
      <c r="A77" t="str">
        <v>Broome Logistics Hub|2023-08</v>
      </c>
      <c r="B77" t="str">
        <f t="shared" si="3"/>
        <v>Broome Logistics Hub</v>
      </c>
      <c r="C77">
        <f t="shared" si="4"/>
        <v>2023</v>
      </c>
      <c r="D77">
        <f>_xlfn.MAXIFS('01_Data'!U:U, '01_Data'!AA:AA, A77)</f>
        <v>86090</v>
      </c>
      <c r="F77">
        <f t="shared" si="5"/>
        <v>6735991</v>
      </c>
    </row>
    <row r="78" spans="1:6" x14ac:dyDescent="0.35">
      <c r="A78" t="str">
        <v>Broome Logistics Hub|2022-04</v>
      </c>
      <c r="B78" t="str">
        <f t="shared" si="3"/>
        <v>Broome Logistics Hub</v>
      </c>
      <c r="C78">
        <f t="shared" si="4"/>
        <v>2022</v>
      </c>
      <c r="D78">
        <f>_xlfn.MAXIFS('01_Data'!U:U, '01_Data'!AA:AA, A78)</f>
        <v>114395</v>
      </c>
      <c r="F78">
        <f t="shared" si="5"/>
        <v>6649901</v>
      </c>
    </row>
    <row r="79" spans="1:6" x14ac:dyDescent="0.35">
      <c r="A79" t="str">
        <v>Pilbara Crusher Plant|2023-12</v>
      </c>
      <c r="B79" t="str">
        <f t="shared" si="3"/>
        <v>Pilbara Crusher Plant</v>
      </c>
      <c r="C79">
        <f t="shared" si="4"/>
        <v>2023</v>
      </c>
      <c r="D79">
        <f>_xlfn.MAXIFS('01_Data'!U:U, '01_Data'!AA:AA, A79)</f>
        <v>112682</v>
      </c>
      <c r="F79">
        <f t="shared" si="5"/>
        <v>6535506</v>
      </c>
    </row>
    <row r="80" spans="1:6" x14ac:dyDescent="0.35">
      <c r="A80" t="str">
        <v>Darwin Port Facility|2023-03</v>
      </c>
      <c r="B80" t="str">
        <f t="shared" si="3"/>
        <v>Darwin Port Facility</v>
      </c>
      <c r="C80">
        <f t="shared" si="4"/>
        <v>2023</v>
      </c>
      <c r="D80">
        <f>_xlfn.MAXIFS('01_Data'!U:U, '01_Data'!AA:AA, A80)</f>
        <v>117296</v>
      </c>
      <c r="F80">
        <f t="shared" si="5"/>
        <v>6422824</v>
      </c>
    </row>
    <row r="81" spans="1:6" x14ac:dyDescent="0.35">
      <c r="A81" t="str">
        <v>Pilbara Crusher Plant|2023-09</v>
      </c>
      <c r="B81" t="str">
        <f t="shared" si="3"/>
        <v>Pilbara Crusher Plant</v>
      </c>
      <c r="C81">
        <f t="shared" si="4"/>
        <v>2023</v>
      </c>
      <c r="D81">
        <f>_xlfn.MAXIFS('01_Data'!U:U, '01_Data'!AA:AA, A81)</f>
        <v>108302</v>
      </c>
      <c r="F81">
        <f t="shared" si="5"/>
        <v>6305528</v>
      </c>
    </row>
    <row r="82" spans="1:6" x14ac:dyDescent="0.35">
      <c r="A82" t="str">
        <v>Darwin Port Facility|2022-09</v>
      </c>
      <c r="B82" t="str">
        <f t="shared" si="3"/>
        <v>Darwin Port Facility</v>
      </c>
      <c r="C82">
        <f t="shared" si="4"/>
        <v>2022</v>
      </c>
      <c r="D82">
        <f>_xlfn.MAXIFS('01_Data'!U:U, '01_Data'!AA:AA, A82)</f>
        <v>119026</v>
      </c>
      <c r="F82">
        <f t="shared" si="5"/>
        <v>6197226</v>
      </c>
    </row>
    <row r="83" spans="1:6" x14ac:dyDescent="0.35">
      <c r="A83" t="str">
        <v>Broome Logistics Hub|2023-10</v>
      </c>
      <c r="B83" t="str">
        <f t="shared" si="3"/>
        <v>Broome Logistics Hub</v>
      </c>
      <c r="C83">
        <f t="shared" si="4"/>
        <v>2023</v>
      </c>
      <c r="D83">
        <f>_xlfn.MAXIFS('01_Data'!U:U, '01_Data'!AA:AA, A83)</f>
        <v>117518</v>
      </c>
      <c r="F83">
        <f t="shared" si="5"/>
        <v>6078200</v>
      </c>
    </row>
    <row r="84" spans="1:6" x14ac:dyDescent="0.35">
      <c r="A84" t="str">
        <v>Broome Logistics Hub|2022-02</v>
      </c>
      <c r="B84" t="str">
        <f t="shared" si="3"/>
        <v>Broome Logistics Hub</v>
      </c>
      <c r="C84">
        <f t="shared" si="4"/>
        <v>2022</v>
      </c>
      <c r="D84">
        <f>_xlfn.MAXIFS('01_Data'!U:U, '01_Data'!AA:AA, A84)</f>
        <v>117867</v>
      </c>
      <c r="F84">
        <f t="shared" si="5"/>
        <v>5960682</v>
      </c>
    </row>
    <row r="85" spans="1:6" x14ac:dyDescent="0.35">
      <c r="A85" t="str">
        <v>Pilbara Crusher Plant|2023-11</v>
      </c>
      <c r="B85" t="str">
        <f t="shared" si="3"/>
        <v>Pilbara Crusher Plant</v>
      </c>
      <c r="C85">
        <f t="shared" si="4"/>
        <v>2023</v>
      </c>
      <c r="D85">
        <f>_xlfn.MAXIFS('01_Data'!U:U, '01_Data'!AA:AA, A85)</f>
        <v>117993</v>
      </c>
      <c r="F85">
        <f t="shared" si="5"/>
        <v>5842815</v>
      </c>
    </row>
    <row r="86" spans="1:6" x14ac:dyDescent="0.35">
      <c r="A86" t="str">
        <v>Broome Logistics Hub|2022-03</v>
      </c>
      <c r="B86" t="str">
        <f t="shared" si="3"/>
        <v>Broome Logistics Hub</v>
      </c>
      <c r="C86">
        <f t="shared" si="4"/>
        <v>2022</v>
      </c>
      <c r="D86">
        <f>_xlfn.MAXIFS('01_Data'!U:U, '01_Data'!AA:AA, A86)</f>
        <v>99606</v>
      </c>
      <c r="F86">
        <f t="shared" si="5"/>
        <v>5724822</v>
      </c>
    </row>
    <row r="87" spans="1:6" x14ac:dyDescent="0.35">
      <c r="A87" t="str">
        <v>Katherine Processing Site|2024-01</v>
      </c>
      <c r="B87" t="str">
        <f t="shared" si="3"/>
        <v>Katherine Processing Site</v>
      </c>
      <c r="C87">
        <f t="shared" si="4"/>
        <v>2024</v>
      </c>
      <c r="D87">
        <f>_xlfn.MAXIFS('01_Data'!U:U, '01_Data'!AA:AA, A87)</f>
        <v>102410</v>
      </c>
      <c r="F87">
        <f t="shared" si="5"/>
        <v>5625216</v>
      </c>
    </row>
    <row r="88" spans="1:6" x14ac:dyDescent="0.35">
      <c r="A88" t="str">
        <v>Broome Logistics Hub|2022-07</v>
      </c>
      <c r="B88" t="str">
        <f t="shared" si="3"/>
        <v>Broome Logistics Hub</v>
      </c>
      <c r="C88">
        <f t="shared" si="4"/>
        <v>2022</v>
      </c>
      <c r="D88">
        <f>_xlfn.MAXIFS('01_Data'!U:U, '01_Data'!AA:AA, A88)</f>
        <v>98536</v>
      </c>
      <c r="F88">
        <f t="shared" si="5"/>
        <v>5522806</v>
      </c>
    </row>
    <row r="89" spans="1:6" x14ac:dyDescent="0.35">
      <c r="A89" t="str">
        <v>Pilbara Crusher Plant|2023-06</v>
      </c>
      <c r="B89" t="str">
        <f t="shared" si="3"/>
        <v>Pilbara Crusher Plant</v>
      </c>
      <c r="C89">
        <f t="shared" si="4"/>
        <v>2023</v>
      </c>
      <c r="D89">
        <f>_xlfn.MAXIFS('01_Data'!U:U, '01_Data'!AA:AA, A89)</f>
        <v>105513</v>
      </c>
      <c r="F89">
        <f t="shared" si="5"/>
        <v>5424270</v>
      </c>
    </row>
    <row r="90" spans="1:6" x14ac:dyDescent="0.35">
      <c r="A90" t="str">
        <v>Broome Logistics Hub|2022-01</v>
      </c>
      <c r="B90" t="str">
        <f t="shared" si="3"/>
        <v>Broome Logistics Hub</v>
      </c>
      <c r="C90">
        <f t="shared" si="4"/>
        <v>2022</v>
      </c>
      <c r="D90">
        <f>_xlfn.MAXIFS('01_Data'!U:U, '01_Data'!AA:AA, A90)</f>
        <v>102784</v>
      </c>
      <c r="F90">
        <f t="shared" si="5"/>
        <v>5318757</v>
      </c>
    </row>
    <row r="91" spans="1:6" x14ac:dyDescent="0.35">
      <c r="A91" t="str">
        <v>Thunderbird Mine|2022-01</v>
      </c>
      <c r="B91" t="str">
        <f t="shared" si="3"/>
        <v>Thunderbird Mine</v>
      </c>
      <c r="C91">
        <f t="shared" si="4"/>
        <v>2022</v>
      </c>
      <c r="D91">
        <f>_xlfn.MAXIFS('01_Data'!U:U, '01_Data'!AA:AA, A91)</f>
        <v>84374</v>
      </c>
      <c r="F91">
        <f t="shared" si="5"/>
        <v>5215973</v>
      </c>
    </row>
    <row r="92" spans="1:6" x14ac:dyDescent="0.35">
      <c r="A92" t="str">
        <v>Darwin Port Facility|2022-07</v>
      </c>
      <c r="B92" t="str">
        <f t="shared" si="3"/>
        <v>Darwin Port Facility</v>
      </c>
      <c r="C92">
        <f t="shared" si="4"/>
        <v>2022</v>
      </c>
      <c r="D92">
        <f>_xlfn.MAXIFS('01_Data'!U:U, '01_Data'!AA:AA, A92)</f>
        <v>106249</v>
      </c>
      <c r="F92">
        <f t="shared" si="5"/>
        <v>5131599</v>
      </c>
    </row>
    <row r="93" spans="1:6" x14ac:dyDescent="0.35">
      <c r="A93" t="str">
        <v>Thunderbird Mine|2024-06</v>
      </c>
      <c r="B93" t="str">
        <f t="shared" si="3"/>
        <v>Thunderbird Mine</v>
      </c>
      <c r="C93">
        <f t="shared" si="4"/>
        <v>2024</v>
      </c>
      <c r="D93">
        <f>_xlfn.MAXIFS('01_Data'!U:U, '01_Data'!AA:AA, A93)</f>
        <v>104054</v>
      </c>
      <c r="F93">
        <f t="shared" si="5"/>
        <v>5025350</v>
      </c>
    </row>
    <row r="94" spans="1:6" x14ac:dyDescent="0.35">
      <c r="A94" t="str">
        <v>Katherine Processing Site|2022-07</v>
      </c>
      <c r="B94" t="str">
        <f t="shared" si="3"/>
        <v>Katherine Processing Site</v>
      </c>
      <c r="C94">
        <f t="shared" si="4"/>
        <v>2022</v>
      </c>
      <c r="D94">
        <f>_xlfn.MAXIFS('01_Data'!U:U, '01_Data'!AA:AA, A94)</f>
        <v>111496</v>
      </c>
      <c r="F94">
        <f t="shared" si="5"/>
        <v>4921296</v>
      </c>
    </row>
    <row r="95" spans="1:6" x14ac:dyDescent="0.35">
      <c r="A95" t="str">
        <v>Katherine Processing Site|2022-06</v>
      </c>
      <c r="B95" t="str">
        <f t="shared" si="3"/>
        <v>Katherine Processing Site</v>
      </c>
      <c r="C95">
        <f t="shared" si="4"/>
        <v>2022</v>
      </c>
      <c r="D95">
        <f>_xlfn.MAXIFS('01_Data'!U:U, '01_Data'!AA:AA, A95)</f>
        <v>96973</v>
      </c>
      <c r="F95">
        <f t="shared" si="5"/>
        <v>4809800</v>
      </c>
    </row>
    <row r="96" spans="1:6" x14ac:dyDescent="0.35">
      <c r="A96" t="str">
        <v>Pilbara Crusher Plant|2022-09</v>
      </c>
      <c r="B96" t="str">
        <f t="shared" si="3"/>
        <v>Pilbara Crusher Plant</v>
      </c>
      <c r="C96">
        <f t="shared" si="4"/>
        <v>2022</v>
      </c>
      <c r="D96">
        <f>_xlfn.MAXIFS('01_Data'!U:U, '01_Data'!AA:AA, A96)</f>
        <v>102530</v>
      </c>
      <c r="F96">
        <f t="shared" si="5"/>
        <v>4712827</v>
      </c>
    </row>
    <row r="97" spans="1:6" x14ac:dyDescent="0.35">
      <c r="A97" t="str">
        <v>Thunderbird Mine|2022-12</v>
      </c>
      <c r="B97" t="str">
        <f t="shared" si="3"/>
        <v>Thunderbird Mine</v>
      </c>
      <c r="C97">
        <f t="shared" si="4"/>
        <v>2022</v>
      </c>
      <c r="D97">
        <f>_xlfn.MAXIFS('01_Data'!U:U, '01_Data'!AA:AA, A97)</f>
        <v>115711</v>
      </c>
      <c r="F97">
        <f t="shared" si="5"/>
        <v>4610297</v>
      </c>
    </row>
    <row r="98" spans="1:6" x14ac:dyDescent="0.35">
      <c r="A98" t="str">
        <v>Thunderbird Mine|2022-08</v>
      </c>
      <c r="B98" t="str">
        <f t="shared" si="3"/>
        <v>Thunderbird Mine</v>
      </c>
      <c r="C98">
        <f t="shared" si="4"/>
        <v>2022</v>
      </c>
      <c r="D98">
        <f>_xlfn.MAXIFS('01_Data'!U:U, '01_Data'!AA:AA, A98)</f>
        <v>100375</v>
      </c>
      <c r="F98">
        <f t="shared" si="5"/>
        <v>4494586</v>
      </c>
    </row>
    <row r="99" spans="1:6" x14ac:dyDescent="0.35">
      <c r="A99" t="str">
        <v>Katherine Processing Site|2023-12</v>
      </c>
      <c r="B99" t="str">
        <f t="shared" si="3"/>
        <v>Katherine Processing Site</v>
      </c>
      <c r="C99">
        <f t="shared" si="4"/>
        <v>2023</v>
      </c>
      <c r="D99">
        <f>_xlfn.MAXIFS('01_Data'!U:U, '01_Data'!AA:AA, A99)</f>
        <v>89767</v>
      </c>
      <c r="F99">
        <f t="shared" si="5"/>
        <v>4394211</v>
      </c>
    </row>
    <row r="100" spans="1:6" x14ac:dyDescent="0.35">
      <c r="A100" t="str">
        <v>Katherine Processing Site|2023-07</v>
      </c>
      <c r="B100" t="str">
        <f t="shared" si="3"/>
        <v>Katherine Processing Site</v>
      </c>
      <c r="C100">
        <f t="shared" si="4"/>
        <v>2023</v>
      </c>
      <c r="D100">
        <f>_xlfn.MAXIFS('01_Data'!U:U, '01_Data'!AA:AA, A100)</f>
        <v>115252</v>
      </c>
      <c r="F100">
        <f t="shared" si="5"/>
        <v>4304444</v>
      </c>
    </row>
    <row r="101" spans="1:6" x14ac:dyDescent="0.35">
      <c r="A101" t="str">
        <v>Broome Logistics Hub|2022-11</v>
      </c>
      <c r="B101" t="str">
        <f t="shared" si="3"/>
        <v>Broome Logistics Hub</v>
      </c>
      <c r="C101">
        <f t="shared" si="4"/>
        <v>2022</v>
      </c>
      <c r="D101">
        <f>_xlfn.MAXIFS('01_Data'!U:U, '01_Data'!AA:AA, A101)</f>
        <v>80913</v>
      </c>
      <c r="F101">
        <f t="shared" si="5"/>
        <v>4189192</v>
      </c>
    </row>
    <row r="102" spans="1:6" x14ac:dyDescent="0.35">
      <c r="A102" t="str">
        <v>Broome Logistics Hub|2023-11</v>
      </c>
      <c r="B102" t="str">
        <f t="shared" si="3"/>
        <v>Broome Logistics Hub</v>
      </c>
      <c r="C102">
        <f t="shared" si="4"/>
        <v>2023</v>
      </c>
      <c r="D102">
        <f>_xlfn.MAXIFS('01_Data'!U:U, '01_Data'!AA:AA, A102)</f>
        <v>101000</v>
      </c>
      <c r="F102">
        <f t="shared" si="5"/>
        <v>4108279</v>
      </c>
    </row>
    <row r="103" spans="1:6" x14ac:dyDescent="0.35">
      <c r="A103" t="str">
        <v>Pilbara Crusher Plant|2022-12</v>
      </c>
      <c r="B103" t="str">
        <f t="shared" si="3"/>
        <v>Pilbara Crusher Plant</v>
      </c>
      <c r="C103">
        <f t="shared" si="4"/>
        <v>2022</v>
      </c>
      <c r="D103">
        <f>_xlfn.MAXIFS('01_Data'!U:U, '01_Data'!AA:AA, A103)</f>
        <v>117849</v>
      </c>
      <c r="F103">
        <f t="shared" si="5"/>
        <v>4007279</v>
      </c>
    </row>
    <row r="104" spans="1:6" x14ac:dyDescent="0.35">
      <c r="A104" t="str">
        <v>Pilbara Crusher Plant|2024-01</v>
      </c>
      <c r="B104" t="str">
        <f t="shared" si="3"/>
        <v>Pilbara Crusher Plant</v>
      </c>
      <c r="C104">
        <f t="shared" si="4"/>
        <v>2024</v>
      </c>
      <c r="D104">
        <f>_xlfn.MAXIFS('01_Data'!U:U, '01_Data'!AA:AA, A104)</f>
        <v>90010</v>
      </c>
      <c r="F104">
        <f t="shared" si="5"/>
        <v>3889430</v>
      </c>
    </row>
    <row r="105" spans="1:6" x14ac:dyDescent="0.35">
      <c r="A105" t="str">
        <v>Pilbara Crusher Plant|2024-03</v>
      </c>
      <c r="B105" t="str">
        <f t="shared" si="3"/>
        <v>Pilbara Crusher Plant</v>
      </c>
      <c r="C105">
        <f t="shared" si="4"/>
        <v>2024</v>
      </c>
      <c r="D105">
        <f>_xlfn.MAXIFS('01_Data'!U:U, '01_Data'!AA:AA, A105)</f>
        <v>108118</v>
      </c>
      <c r="F105">
        <f t="shared" si="5"/>
        <v>3799420</v>
      </c>
    </row>
    <row r="106" spans="1:6" x14ac:dyDescent="0.35">
      <c r="A106" t="str">
        <v>Pilbara Crusher Plant|2024-05</v>
      </c>
      <c r="B106" t="str">
        <f t="shared" si="3"/>
        <v>Pilbara Crusher Plant</v>
      </c>
      <c r="C106">
        <f t="shared" si="4"/>
        <v>2024</v>
      </c>
      <c r="D106">
        <f>_xlfn.MAXIFS('01_Data'!U:U, '01_Data'!AA:AA, A106)</f>
        <v>90910</v>
      </c>
      <c r="F106">
        <f t="shared" si="5"/>
        <v>3691302</v>
      </c>
    </row>
    <row r="107" spans="1:6" x14ac:dyDescent="0.35">
      <c r="A107" t="str">
        <v>Darwin Port Facility|2022-02</v>
      </c>
      <c r="B107" t="str">
        <f t="shared" si="3"/>
        <v>Darwin Port Facility</v>
      </c>
      <c r="C107">
        <f t="shared" si="4"/>
        <v>2022</v>
      </c>
      <c r="D107">
        <f>_xlfn.MAXIFS('01_Data'!U:U, '01_Data'!AA:AA, A107)</f>
        <v>73980</v>
      </c>
      <c r="F107">
        <f t="shared" si="5"/>
        <v>3600392</v>
      </c>
    </row>
    <row r="108" spans="1:6" x14ac:dyDescent="0.35">
      <c r="A108" t="str">
        <v>Broome Logistics Hub|2022-09</v>
      </c>
      <c r="B108" t="str">
        <f t="shared" si="3"/>
        <v>Broome Logistics Hub</v>
      </c>
      <c r="C108">
        <f t="shared" si="4"/>
        <v>2022</v>
      </c>
      <c r="D108">
        <f>_xlfn.MAXIFS('01_Data'!U:U, '01_Data'!AA:AA, A108)</f>
        <v>114055</v>
      </c>
      <c r="F108">
        <f t="shared" si="5"/>
        <v>3526412</v>
      </c>
    </row>
    <row r="109" spans="1:6" x14ac:dyDescent="0.35">
      <c r="A109" t="str">
        <v>Thunderbird Mine|2023-05</v>
      </c>
      <c r="B109" t="str">
        <f t="shared" si="3"/>
        <v>Thunderbird Mine</v>
      </c>
      <c r="C109">
        <f t="shared" si="4"/>
        <v>2023</v>
      </c>
      <c r="D109">
        <f>_xlfn.MAXIFS('01_Data'!U:U, '01_Data'!AA:AA, A109)</f>
        <v>45577</v>
      </c>
      <c r="F109">
        <f t="shared" si="5"/>
        <v>3412357</v>
      </c>
    </row>
    <row r="110" spans="1:6" x14ac:dyDescent="0.35">
      <c r="A110" t="str">
        <v>Broome Logistics Hub|2024-06</v>
      </c>
      <c r="B110" t="str">
        <f t="shared" si="3"/>
        <v>Broome Logistics Hub</v>
      </c>
      <c r="C110">
        <f t="shared" si="4"/>
        <v>2024</v>
      </c>
      <c r="D110">
        <f>_xlfn.MAXIFS('01_Data'!U:U, '01_Data'!AA:AA, A110)</f>
        <v>116916</v>
      </c>
      <c r="F110">
        <f t="shared" si="5"/>
        <v>3366780</v>
      </c>
    </row>
    <row r="111" spans="1:6" x14ac:dyDescent="0.35">
      <c r="A111" t="str">
        <v>Broome Logistics Hub|2022-12</v>
      </c>
      <c r="B111" t="str">
        <f t="shared" si="3"/>
        <v>Broome Logistics Hub</v>
      </c>
      <c r="C111">
        <f t="shared" si="4"/>
        <v>2022</v>
      </c>
      <c r="D111">
        <f>_xlfn.MAXIFS('01_Data'!U:U, '01_Data'!AA:AA, A111)</f>
        <v>112487</v>
      </c>
      <c r="F111">
        <f t="shared" si="5"/>
        <v>3249864</v>
      </c>
    </row>
    <row r="112" spans="1:6" x14ac:dyDescent="0.35">
      <c r="A112" t="str">
        <v>Katherine Processing Site|2022-03</v>
      </c>
      <c r="B112" t="str">
        <f t="shared" si="3"/>
        <v>Katherine Processing Site</v>
      </c>
      <c r="C112">
        <f t="shared" si="4"/>
        <v>2022</v>
      </c>
      <c r="D112">
        <f>_xlfn.MAXIFS('01_Data'!U:U, '01_Data'!AA:AA, A112)</f>
        <v>117554</v>
      </c>
      <c r="F112">
        <f t="shared" si="5"/>
        <v>3137377</v>
      </c>
    </row>
    <row r="113" spans="1:6" x14ac:dyDescent="0.35">
      <c r="A113" t="str">
        <v>Katherine Processing Site|2022-10</v>
      </c>
      <c r="B113" t="str">
        <f t="shared" si="3"/>
        <v>Katherine Processing Site</v>
      </c>
      <c r="C113">
        <f t="shared" si="4"/>
        <v>2022</v>
      </c>
      <c r="D113">
        <f>_xlfn.MAXIFS('01_Data'!U:U, '01_Data'!AA:AA, A113)</f>
        <v>54021</v>
      </c>
      <c r="F113">
        <f t="shared" si="5"/>
        <v>3019823</v>
      </c>
    </row>
    <row r="114" spans="1:6" x14ac:dyDescent="0.35">
      <c r="A114" t="str">
        <v>Darwin Port Facility|2023-12</v>
      </c>
      <c r="B114" t="str">
        <f t="shared" si="3"/>
        <v>Darwin Port Facility</v>
      </c>
      <c r="C114">
        <f t="shared" si="4"/>
        <v>2023</v>
      </c>
      <c r="D114">
        <f>_xlfn.MAXIFS('01_Data'!U:U, '01_Data'!AA:AA, A114)</f>
        <v>116389</v>
      </c>
      <c r="F114">
        <f t="shared" si="5"/>
        <v>2965802</v>
      </c>
    </row>
    <row r="115" spans="1:6" x14ac:dyDescent="0.35">
      <c r="A115" t="str">
        <v>Katherine Processing Site|2024-03</v>
      </c>
      <c r="B115" t="str">
        <f t="shared" si="3"/>
        <v>Katherine Processing Site</v>
      </c>
      <c r="C115">
        <f t="shared" si="4"/>
        <v>2024</v>
      </c>
      <c r="D115">
        <f>_xlfn.MAXIFS('01_Data'!U:U, '01_Data'!AA:AA, A115)</f>
        <v>45453</v>
      </c>
      <c r="F115">
        <f t="shared" si="5"/>
        <v>2849413</v>
      </c>
    </row>
    <row r="116" spans="1:6" x14ac:dyDescent="0.35">
      <c r="A116" t="str">
        <v>Katherine Processing Site|2024-02</v>
      </c>
      <c r="B116" t="str">
        <f t="shared" si="3"/>
        <v>Katherine Processing Site</v>
      </c>
      <c r="C116">
        <f t="shared" si="4"/>
        <v>2024</v>
      </c>
      <c r="D116">
        <f>_xlfn.MAXIFS('01_Data'!U:U, '01_Data'!AA:AA, A116)</f>
        <v>85688</v>
      </c>
      <c r="F116">
        <f t="shared" si="5"/>
        <v>2803960</v>
      </c>
    </row>
    <row r="117" spans="1:6" x14ac:dyDescent="0.35">
      <c r="A117" t="str">
        <v>Darwin Port Facility|2024-03</v>
      </c>
      <c r="B117" t="str">
        <f t="shared" si="3"/>
        <v>Darwin Port Facility</v>
      </c>
      <c r="C117">
        <f t="shared" si="4"/>
        <v>2024</v>
      </c>
      <c r="D117">
        <f>_xlfn.MAXIFS('01_Data'!U:U, '01_Data'!AA:AA, A117)</f>
        <v>91000</v>
      </c>
      <c r="F117">
        <f t="shared" si="5"/>
        <v>2718272</v>
      </c>
    </row>
    <row r="118" spans="1:6" x14ac:dyDescent="0.35">
      <c r="A118" t="str">
        <v>Katherine Processing Site|2022-08</v>
      </c>
      <c r="B118" t="str">
        <f t="shared" si="3"/>
        <v>Katherine Processing Site</v>
      </c>
      <c r="C118">
        <f t="shared" si="4"/>
        <v>2022</v>
      </c>
      <c r="D118">
        <f>_xlfn.MAXIFS('01_Data'!U:U, '01_Data'!AA:AA, A118)</f>
        <v>104217</v>
      </c>
      <c r="F118">
        <f t="shared" si="5"/>
        <v>2627272</v>
      </c>
    </row>
    <row r="119" spans="1:6" x14ac:dyDescent="0.35">
      <c r="A119" t="str">
        <v>Thunderbird Mine|2022-04</v>
      </c>
      <c r="B119" t="str">
        <f t="shared" si="3"/>
        <v>Thunderbird Mine</v>
      </c>
      <c r="C119">
        <f t="shared" si="4"/>
        <v>2022</v>
      </c>
      <c r="D119">
        <f>_xlfn.MAXIFS('01_Data'!U:U, '01_Data'!AA:AA, A119)</f>
        <v>112534</v>
      </c>
      <c r="F119">
        <f t="shared" si="5"/>
        <v>2523055</v>
      </c>
    </row>
    <row r="120" spans="1:6" x14ac:dyDescent="0.35">
      <c r="A120" t="str">
        <v>Broome Logistics Hub|2023-09</v>
      </c>
      <c r="B120" t="str">
        <f t="shared" si="3"/>
        <v>Broome Logistics Hub</v>
      </c>
      <c r="C120">
        <f t="shared" si="4"/>
        <v>2023</v>
      </c>
      <c r="D120">
        <f>_xlfn.MAXIFS('01_Data'!U:U, '01_Data'!AA:AA, A120)</f>
        <v>108425</v>
      </c>
      <c r="F120">
        <f t="shared" si="5"/>
        <v>2410521</v>
      </c>
    </row>
    <row r="121" spans="1:6" x14ac:dyDescent="0.35">
      <c r="A121" t="str">
        <v>Katherine Processing Site|2022-11</v>
      </c>
      <c r="B121" t="str">
        <f t="shared" si="3"/>
        <v>Katherine Processing Site</v>
      </c>
      <c r="C121">
        <f t="shared" si="4"/>
        <v>2022</v>
      </c>
      <c r="D121">
        <f>_xlfn.MAXIFS('01_Data'!U:U, '01_Data'!AA:AA, A121)</f>
        <v>119800</v>
      </c>
      <c r="F121">
        <f t="shared" si="5"/>
        <v>2302096</v>
      </c>
    </row>
    <row r="122" spans="1:6" x14ac:dyDescent="0.35">
      <c r="A122" t="str">
        <v>Katherine Processing Site|2022-04</v>
      </c>
      <c r="B122" t="str">
        <f t="shared" si="3"/>
        <v>Katherine Processing Site</v>
      </c>
      <c r="C122">
        <f t="shared" si="4"/>
        <v>2022</v>
      </c>
      <c r="D122">
        <f>_xlfn.MAXIFS('01_Data'!U:U, '01_Data'!AA:AA, A122)</f>
        <v>74735</v>
      </c>
      <c r="F122">
        <f t="shared" si="5"/>
        <v>2182296</v>
      </c>
    </row>
    <row r="123" spans="1:6" x14ac:dyDescent="0.35">
      <c r="A123" t="str">
        <v>Thunderbird Mine|2023-02</v>
      </c>
      <c r="B123" t="str">
        <f t="shared" si="3"/>
        <v>Thunderbird Mine</v>
      </c>
      <c r="C123">
        <f t="shared" si="4"/>
        <v>2023</v>
      </c>
      <c r="D123">
        <f>_xlfn.MAXIFS('01_Data'!U:U, '01_Data'!AA:AA, A123)</f>
        <v>112105</v>
      </c>
      <c r="F123">
        <f t="shared" si="5"/>
        <v>2107561</v>
      </c>
    </row>
    <row r="124" spans="1:6" x14ac:dyDescent="0.35">
      <c r="A124" t="str">
        <v>Broome Logistics Hub|2023-05</v>
      </c>
      <c r="B124" t="str">
        <f t="shared" si="3"/>
        <v>Broome Logistics Hub</v>
      </c>
      <c r="C124">
        <f t="shared" si="4"/>
        <v>2023</v>
      </c>
      <c r="D124">
        <f>_xlfn.MAXIFS('01_Data'!U:U, '01_Data'!AA:AA, A124)</f>
        <v>76822</v>
      </c>
      <c r="F124">
        <f t="shared" si="5"/>
        <v>1995456</v>
      </c>
    </row>
    <row r="125" spans="1:6" x14ac:dyDescent="0.35">
      <c r="A125" t="str">
        <v>Thunderbird Mine|2024-04</v>
      </c>
      <c r="B125" t="str">
        <f t="shared" si="3"/>
        <v>Thunderbird Mine</v>
      </c>
      <c r="C125">
        <f t="shared" si="4"/>
        <v>2024</v>
      </c>
      <c r="D125">
        <f>_xlfn.MAXIFS('01_Data'!U:U, '01_Data'!AA:AA, A125)</f>
        <v>87026</v>
      </c>
      <c r="F125">
        <f t="shared" si="5"/>
        <v>1918634</v>
      </c>
    </row>
    <row r="126" spans="1:6" x14ac:dyDescent="0.35">
      <c r="A126" t="str">
        <v>Thunderbird Mine|2022-07</v>
      </c>
      <c r="B126" t="str">
        <f t="shared" si="3"/>
        <v>Thunderbird Mine</v>
      </c>
      <c r="C126">
        <f t="shared" si="4"/>
        <v>2022</v>
      </c>
      <c r="D126">
        <f>_xlfn.MAXIFS('01_Data'!U:U, '01_Data'!AA:AA, A126)</f>
        <v>101727</v>
      </c>
      <c r="F126">
        <f t="shared" si="5"/>
        <v>1831608</v>
      </c>
    </row>
    <row r="127" spans="1:6" x14ac:dyDescent="0.35">
      <c r="A127" t="str">
        <v>Darwin Port Facility|2023-06</v>
      </c>
      <c r="B127" t="str">
        <f t="shared" si="3"/>
        <v>Darwin Port Facility</v>
      </c>
      <c r="C127">
        <f t="shared" si="4"/>
        <v>2023</v>
      </c>
      <c r="D127">
        <f>_xlfn.MAXIFS('01_Data'!U:U, '01_Data'!AA:AA, A127)</f>
        <v>62772</v>
      </c>
      <c r="F127">
        <f t="shared" si="5"/>
        <v>1729881</v>
      </c>
    </row>
    <row r="128" spans="1:6" x14ac:dyDescent="0.35">
      <c r="A128" t="str">
        <v>Pilbara Crusher Plant|2022-01</v>
      </c>
      <c r="B128" t="str">
        <f t="shared" si="3"/>
        <v>Pilbara Crusher Plant</v>
      </c>
      <c r="C128">
        <f t="shared" si="4"/>
        <v>2022</v>
      </c>
      <c r="D128">
        <f>_xlfn.MAXIFS('01_Data'!U:U, '01_Data'!AA:AA, A128)</f>
        <v>76239</v>
      </c>
      <c r="F128">
        <f t="shared" si="5"/>
        <v>1667109</v>
      </c>
    </row>
    <row r="129" spans="1:6" x14ac:dyDescent="0.35">
      <c r="A129" t="str">
        <v>Broome Logistics Hub|2022-08</v>
      </c>
      <c r="B129" t="str">
        <f t="shared" si="3"/>
        <v>Broome Logistics Hub</v>
      </c>
      <c r="C129">
        <f t="shared" si="4"/>
        <v>2022</v>
      </c>
      <c r="D129">
        <f>_xlfn.MAXIFS('01_Data'!U:U, '01_Data'!AA:AA, A129)</f>
        <v>52793</v>
      </c>
      <c r="F129">
        <f t="shared" si="5"/>
        <v>1590870</v>
      </c>
    </row>
    <row r="130" spans="1:6" x14ac:dyDescent="0.35">
      <c r="A130" t="str">
        <v>Broome Logistics Hub|2023-04</v>
      </c>
      <c r="B130" t="str">
        <f t="shared" si="3"/>
        <v>Broome Logistics Hub</v>
      </c>
      <c r="C130">
        <f t="shared" si="4"/>
        <v>2023</v>
      </c>
      <c r="D130">
        <f>_xlfn.MAXIFS('01_Data'!U:U, '01_Data'!AA:AA, A130)</f>
        <v>97013</v>
      </c>
      <c r="F130">
        <f t="shared" si="5"/>
        <v>1538077</v>
      </c>
    </row>
    <row r="131" spans="1:6" x14ac:dyDescent="0.35">
      <c r="A131" t="str">
        <v>Broome Logistics Hub|2024-03</v>
      </c>
      <c r="B131" t="str">
        <f t="shared" ref="B131:B145" si="6">LEFT(A131, FIND("|",A131)-1)</f>
        <v>Broome Logistics Hub</v>
      </c>
      <c r="C131">
        <f t="shared" ref="C131:C145" si="7">VALUE(MID(A131, FIND("|",A131)+1, 4))</f>
        <v>2024</v>
      </c>
      <c r="D131">
        <f>_xlfn.MAXIFS('01_Data'!U:U, '01_Data'!AA:AA, A131)</f>
        <v>90242</v>
      </c>
      <c r="F131">
        <f t="shared" ref="F131:F145" si="8">SUM(D131:D274)</f>
        <v>1441064</v>
      </c>
    </row>
    <row r="132" spans="1:6" x14ac:dyDescent="0.35">
      <c r="A132" t="str">
        <v>Thunderbird Mine|2024-01</v>
      </c>
      <c r="B132" t="str">
        <f t="shared" si="6"/>
        <v>Thunderbird Mine</v>
      </c>
      <c r="C132">
        <f t="shared" si="7"/>
        <v>2024</v>
      </c>
      <c r="D132">
        <f>_xlfn.MAXIFS('01_Data'!U:U, '01_Data'!AA:AA, A132)</f>
        <v>75167</v>
      </c>
      <c r="F132">
        <f t="shared" si="8"/>
        <v>1350822</v>
      </c>
    </row>
    <row r="133" spans="1:6" x14ac:dyDescent="0.35">
      <c r="A133" t="str">
        <v>Katherine Processing Site|2023-08</v>
      </c>
      <c r="B133" t="str">
        <f t="shared" si="6"/>
        <v>Katherine Processing Site</v>
      </c>
      <c r="C133">
        <f t="shared" si="7"/>
        <v>2023</v>
      </c>
      <c r="D133">
        <f>_xlfn.MAXIFS('01_Data'!U:U, '01_Data'!AA:AA, A133)</f>
        <v>89921</v>
      </c>
      <c r="F133">
        <f t="shared" si="8"/>
        <v>1275655</v>
      </c>
    </row>
    <row r="134" spans="1:6" x14ac:dyDescent="0.35">
      <c r="A134" t="str">
        <v>Broome Logistics Hub|2022-05</v>
      </c>
      <c r="B134" t="str">
        <f t="shared" si="6"/>
        <v>Broome Logistics Hub</v>
      </c>
      <c r="C134">
        <f t="shared" si="7"/>
        <v>2022</v>
      </c>
      <c r="D134">
        <f>_xlfn.MAXIFS('01_Data'!U:U, '01_Data'!AA:AA, A134)</f>
        <v>98487</v>
      </c>
      <c r="F134">
        <f t="shared" si="8"/>
        <v>1185734</v>
      </c>
    </row>
    <row r="135" spans="1:6" x14ac:dyDescent="0.35">
      <c r="A135" t="str">
        <v>Katherine Processing Site|2024-06</v>
      </c>
      <c r="B135" t="str">
        <f t="shared" si="6"/>
        <v>Katherine Processing Site</v>
      </c>
      <c r="C135">
        <f t="shared" si="7"/>
        <v>2024</v>
      </c>
      <c r="D135">
        <f>_xlfn.MAXIFS('01_Data'!U:U, '01_Data'!AA:AA, A135)</f>
        <v>107699</v>
      </c>
      <c r="F135">
        <f t="shared" si="8"/>
        <v>1087247</v>
      </c>
    </row>
    <row r="136" spans="1:6" x14ac:dyDescent="0.35">
      <c r="A136" t="str">
        <v>Pilbara Crusher Plant|2024-02</v>
      </c>
      <c r="B136" t="str">
        <f t="shared" si="6"/>
        <v>Pilbara Crusher Plant</v>
      </c>
      <c r="C136">
        <f t="shared" si="7"/>
        <v>2024</v>
      </c>
      <c r="D136">
        <f>_xlfn.MAXIFS('01_Data'!U:U, '01_Data'!AA:AA, A136)</f>
        <v>119377</v>
      </c>
      <c r="F136">
        <f t="shared" si="8"/>
        <v>979548</v>
      </c>
    </row>
    <row r="137" spans="1:6" x14ac:dyDescent="0.35">
      <c r="A137" t="str">
        <v>Pilbara Crusher Plant|2023-07</v>
      </c>
      <c r="B137" t="str">
        <f t="shared" si="6"/>
        <v>Pilbara Crusher Plant</v>
      </c>
      <c r="C137">
        <f t="shared" si="7"/>
        <v>2023</v>
      </c>
      <c r="D137">
        <f>_xlfn.MAXIFS('01_Data'!U:U, '01_Data'!AA:AA, A137)</f>
        <v>110574</v>
      </c>
      <c r="F137">
        <f t="shared" si="8"/>
        <v>860171</v>
      </c>
    </row>
    <row r="138" spans="1:6" x14ac:dyDescent="0.35">
      <c r="A138" t="str">
        <v>Darwin Port Facility|2023-02</v>
      </c>
      <c r="B138" t="str">
        <f t="shared" si="6"/>
        <v>Darwin Port Facility</v>
      </c>
      <c r="C138">
        <f t="shared" si="7"/>
        <v>2023</v>
      </c>
      <c r="D138">
        <f>_xlfn.MAXIFS('01_Data'!U:U, '01_Data'!AA:AA, A138)</f>
        <v>119269</v>
      </c>
      <c r="F138">
        <f t="shared" si="8"/>
        <v>749597</v>
      </c>
    </row>
    <row r="139" spans="1:6" x14ac:dyDescent="0.35">
      <c r="A139" t="str">
        <v>Thunderbird Mine|2022-03</v>
      </c>
      <c r="B139" t="str">
        <f t="shared" si="6"/>
        <v>Thunderbird Mine</v>
      </c>
      <c r="C139">
        <f t="shared" si="7"/>
        <v>2022</v>
      </c>
      <c r="D139">
        <f>_xlfn.MAXIFS('01_Data'!U:U, '01_Data'!AA:AA, A139)</f>
        <v>80549</v>
      </c>
      <c r="F139">
        <f t="shared" si="8"/>
        <v>630328</v>
      </c>
    </row>
    <row r="140" spans="1:6" x14ac:dyDescent="0.35">
      <c r="A140" t="str">
        <v>Katherine Processing Site|2024-04</v>
      </c>
      <c r="B140" t="str">
        <f t="shared" si="6"/>
        <v>Katherine Processing Site</v>
      </c>
      <c r="C140">
        <f t="shared" si="7"/>
        <v>2024</v>
      </c>
      <c r="D140">
        <f>_xlfn.MAXIFS('01_Data'!U:U, '01_Data'!AA:AA, A140)</f>
        <v>104486</v>
      </c>
      <c r="F140">
        <f t="shared" si="8"/>
        <v>549779</v>
      </c>
    </row>
    <row r="141" spans="1:6" x14ac:dyDescent="0.35">
      <c r="A141" t="str">
        <v>Darwin Port Facility|2022-05</v>
      </c>
      <c r="B141" t="str">
        <f t="shared" si="6"/>
        <v>Darwin Port Facility</v>
      </c>
      <c r="C141">
        <f t="shared" si="7"/>
        <v>2022</v>
      </c>
      <c r="D141">
        <f>_xlfn.MAXIFS('01_Data'!U:U, '01_Data'!AA:AA, A141)</f>
        <v>67321</v>
      </c>
      <c r="F141">
        <f t="shared" si="8"/>
        <v>445293</v>
      </c>
    </row>
    <row r="142" spans="1:6" x14ac:dyDescent="0.35">
      <c r="A142" t="str">
        <v>Darwin Port Facility|2024-06</v>
      </c>
      <c r="B142" t="str">
        <f t="shared" si="6"/>
        <v>Darwin Port Facility</v>
      </c>
      <c r="C142">
        <f t="shared" si="7"/>
        <v>2024</v>
      </c>
      <c r="D142">
        <f>_xlfn.MAXIFS('01_Data'!U:U, '01_Data'!AA:AA, A142)</f>
        <v>117831</v>
      </c>
      <c r="F142">
        <f t="shared" si="8"/>
        <v>377972</v>
      </c>
    </row>
    <row r="143" spans="1:6" x14ac:dyDescent="0.35">
      <c r="A143" t="str">
        <v>Pilbara Crusher Plant|2024-06</v>
      </c>
      <c r="B143" t="str">
        <f t="shared" si="6"/>
        <v>Pilbara Crusher Plant</v>
      </c>
      <c r="C143">
        <f t="shared" si="7"/>
        <v>2024</v>
      </c>
      <c r="D143">
        <f>_xlfn.MAXIFS('01_Data'!U:U, '01_Data'!AA:AA, A143)</f>
        <v>113051</v>
      </c>
      <c r="F143">
        <f t="shared" si="8"/>
        <v>260141</v>
      </c>
    </row>
    <row r="144" spans="1:6" x14ac:dyDescent="0.35">
      <c r="A144" t="str">
        <v>Broome Logistics Hub|2023-12</v>
      </c>
      <c r="B144" t="str">
        <f t="shared" si="6"/>
        <v>Broome Logistics Hub</v>
      </c>
      <c r="C144">
        <f t="shared" si="7"/>
        <v>2023</v>
      </c>
      <c r="D144">
        <f>_xlfn.MAXIFS('01_Data'!U:U, '01_Data'!AA:AA, A144)</f>
        <v>88309</v>
      </c>
      <c r="F144">
        <f t="shared" si="8"/>
        <v>147090</v>
      </c>
    </row>
    <row r="145" spans="1:6" x14ac:dyDescent="0.35">
      <c r="A145" t="str">
        <v>Thunderbird Mine|2023-03</v>
      </c>
      <c r="B145" t="str">
        <f t="shared" si="6"/>
        <v>Thunderbird Mine</v>
      </c>
      <c r="C145">
        <f t="shared" si="7"/>
        <v>2023</v>
      </c>
      <c r="D145">
        <f>_xlfn.MAXIFS('01_Data'!U:U, '01_Data'!AA:AA, A145)</f>
        <v>58781</v>
      </c>
      <c r="F145">
        <f t="shared" si="8"/>
        <v>58781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DF5F8-60B4-429F-8D2B-63F5DD1C6418}">
  <dimension ref="A3:H14"/>
  <sheetViews>
    <sheetView workbookViewId="0">
      <selection activeCell="K15" sqref="K15"/>
    </sheetView>
  </sheetViews>
  <sheetFormatPr defaultRowHeight="14.5" x14ac:dyDescent="0.35"/>
  <cols>
    <col min="1" max="1" width="22.453125" bestFit="1" customWidth="1"/>
    <col min="2" max="2" width="17.6328125" customWidth="1"/>
    <col min="4" max="4" width="18" customWidth="1"/>
    <col min="8" max="8" width="15" bestFit="1" customWidth="1"/>
  </cols>
  <sheetData>
    <row r="3" spans="1:8" x14ac:dyDescent="0.35">
      <c r="A3" t="s">
        <v>2</v>
      </c>
      <c r="B3" t="s">
        <v>605</v>
      </c>
      <c r="C3" t="s">
        <v>606</v>
      </c>
      <c r="D3" t="s">
        <v>607</v>
      </c>
      <c r="E3" t="s">
        <v>608</v>
      </c>
      <c r="F3" t="s">
        <v>609</v>
      </c>
    </row>
    <row r="4" spans="1:8" x14ac:dyDescent="0.35">
      <c r="A4">
        <v>2022</v>
      </c>
      <c r="B4">
        <f>SUMIFS('01_Data'!V:V, '01_Data'!C:C, A4)</f>
        <v>51</v>
      </c>
      <c r="C4">
        <f>SUMIFS('01_Data'!Y:Y, '01_Data'!C:C, A4)</f>
        <v>23</v>
      </c>
      <c r="D4">
        <f>SUMIFS('02_Exposure_Hours'!D:D, '02_Exposure_Hours'!C:C, A4)</f>
        <v>5805541</v>
      </c>
      <c r="E4">
        <f>ROUND(B4/D4*1000000, 2)</f>
        <v>8.7799999999999994</v>
      </c>
      <c r="F4">
        <f>ROUND(C4/D4*1000000, 2)</f>
        <v>3.96</v>
      </c>
    </row>
    <row r="5" spans="1:8" x14ac:dyDescent="0.35">
      <c r="A5">
        <v>2023</v>
      </c>
      <c r="B5">
        <f>SUMIFS('01_Data'!V:V, '01_Data'!C:C, A5)</f>
        <v>51</v>
      </c>
      <c r="C5">
        <f>SUMIFS('01_Data'!Y:Y, '01_Data'!C:C, A5)</f>
        <v>29</v>
      </c>
      <c r="D5">
        <f>SUMIFS('02_Exposure_Hours'!D:D, '02_Exposure_Hours'!C:C, A5)</f>
        <v>5713661</v>
      </c>
      <c r="E5">
        <f t="shared" ref="E5:E6" si="0">ROUND(B5/D5*1000000, 2)</f>
        <v>8.93</v>
      </c>
      <c r="F5">
        <f t="shared" ref="F5:F6" si="1">ROUND(C5/D5*1000000, 2)</f>
        <v>5.08</v>
      </c>
    </row>
    <row r="6" spans="1:8" x14ac:dyDescent="0.35">
      <c r="A6">
        <v>2024</v>
      </c>
      <c r="B6">
        <f>SUMIFS('01_Data'!V:V, '01_Data'!C:C, A6)</f>
        <v>20</v>
      </c>
      <c r="C6">
        <f>SUMIFS('01_Data'!Y:Y, '01_Data'!C:C, A6)</f>
        <v>5</v>
      </c>
      <c r="D6">
        <f>SUMIFS('02_Exposure_Hours'!D:D, '02_Exposure_Hours'!C:C, A6)</f>
        <v>2973221</v>
      </c>
      <c r="E6">
        <f t="shared" si="0"/>
        <v>6.73</v>
      </c>
      <c r="F6">
        <f t="shared" si="1"/>
        <v>1.68</v>
      </c>
    </row>
    <row r="9" spans="1:8" x14ac:dyDescent="0.35">
      <c r="A9" t="s">
        <v>6</v>
      </c>
      <c r="B9" t="s">
        <v>605</v>
      </c>
      <c r="C9" t="s">
        <v>606</v>
      </c>
      <c r="D9" t="s">
        <v>607</v>
      </c>
      <c r="E9" t="s">
        <v>608</v>
      </c>
      <c r="F9" t="s">
        <v>609</v>
      </c>
      <c r="H9" t="s">
        <v>610</v>
      </c>
    </row>
    <row r="10" spans="1:8" x14ac:dyDescent="0.35">
      <c r="A10" t="s">
        <v>27</v>
      </c>
      <c r="B10">
        <f>SUMIFS('01_Data'!V:V, '01_Data'!G:G, A10)</f>
        <v>26</v>
      </c>
      <c r="C10">
        <f>SUMIFS('01_Data'!Y:Y, '01_Data'!G:G, A10)</f>
        <v>14</v>
      </c>
      <c r="D10">
        <f>SUMIFS('02_Exposure_Hours'!D:D, '02_Exposure_Hours'!B:B, A10)</f>
        <v>2964580</v>
      </c>
      <c r="E10">
        <f>ROUND(B10/D10*1000000, 2)</f>
        <v>8.77</v>
      </c>
      <c r="F10">
        <f>ROUND(C10/D10*1000000, 2)</f>
        <v>4.72</v>
      </c>
      <c r="H10">
        <f>_xlfn.LET(_xlpm.rec, SUMIFS('01_Data'!V:V,'01_Data'!G:G,A10), _xlpm.hrs, SUMIFS('02_Exposure_Hours'!D:D,'02_Exposure_Hours'!B:B,A10), ROUND(_xlpm.rec/_xlpm.hrs*1000000,2))</f>
        <v>8.77</v>
      </c>
    </row>
    <row r="11" spans="1:8" x14ac:dyDescent="0.35">
      <c r="A11" t="s">
        <v>42</v>
      </c>
      <c r="B11">
        <f>SUMIFS('01_Data'!V:V, '01_Data'!G:G, A11)</f>
        <v>24</v>
      </c>
      <c r="C11">
        <f>SUMIFS('01_Data'!Y:Y, '01_Data'!G:G, A11)</f>
        <v>9</v>
      </c>
      <c r="D11">
        <f>SUMIFS('02_Exposure_Hours'!D:D, '02_Exposure_Hours'!B:B, A11)</f>
        <v>2943430</v>
      </c>
      <c r="E11">
        <f t="shared" ref="E11:E14" si="2">ROUND(B11/D11*1000000, 2)</f>
        <v>8.15</v>
      </c>
      <c r="F11">
        <f t="shared" ref="F11:F14" si="3">ROUND(C11/D11*1000000, 2)</f>
        <v>3.06</v>
      </c>
      <c r="H11">
        <f>_xlfn.LET(_xlpm.rec, SUMIFS('01_Data'!V:V,'01_Data'!G:G,A11), _xlpm.hrs, SUMIFS('02_Exposure_Hours'!D:D,'02_Exposure_Hours'!B:B,A11), ROUND(_xlpm.rec/_xlpm.hrs*1000000,2))</f>
        <v>8.15</v>
      </c>
    </row>
    <row r="12" spans="1:8" x14ac:dyDescent="0.35">
      <c r="A12" t="s">
        <v>59</v>
      </c>
      <c r="B12">
        <f>SUMIFS('01_Data'!V:V, '01_Data'!G:G, A12)</f>
        <v>31</v>
      </c>
      <c r="C12">
        <f>SUMIFS('01_Data'!Y:Y, '01_Data'!G:G, A12)</f>
        <v>13</v>
      </c>
      <c r="D12">
        <f>SUMIFS('02_Exposure_Hours'!D:D, '02_Exposure_Hours'!B:B, A12)</f>
        <v>3051014</v>
      </c>
      <c r="E12">
        <f t="shared" si="2"/>
        <v>10.16</v>
      </c>
      <c r="F12">
        <f t="shared" si="3"/>
        <v>4.26</v>
      </c>
      <c r="H12">
        <f>_xlfn.LET(_xlpm.rec, SUMIFS('01_Data'!V:V,'01_Data'!G:G,A12), _xlpm.hrs, SUMIFS('02_Exposure_Hours'!D:D,'02_Exposure_Hours'!B:B,A12), ROUND(_xlpm.rec/_xlpm.hrs*1000000,2))</f>
        <v>10.16</v>
      </c>
    </row>
    <row r="13" spans="1:8" x14ac:dyDescent="0.35">
      <c r="A13" t="s">
        <v>78</v>
      </c>
      <c r="B13">
        <f>SUMIFS('01_Data'!V:V, '01_Data'!G:G, A13)</f>
        <v>23</v>
      </c>
      <c r="C13">
        <f>SUMIFS('01_Data'!Y:Y, '01_Data'!G:G, A13)</f>
        <v>8</v>
      </c>
      <c r="D13">
        <f>SUMIFS('02_Exposure_Hours'!D:D, '02_Exposure_Hours'!B:B, A13)</f>
        <v>2994737</v>
      </c>
      <c r="E13">
        <f t="shared" si="2"/>
        <v>7.68</v>
      </c>
      <c r="F13">
        <f t="shared" si="3"/>
        <v>2.67</v>
      </c>
      <c r="H13">
        <f>_xlfn.LET(_xlpm.rec, SUMIFS('01_Data'!V:V,'01_Data'!G:G,A13), _xlpm.hrs, SUMIFS('02_Exposure_Hours'!D:D,'02_Exposure_Hours'!B:B,A13), ROUND(_xlpm.rec/_xlpm.hrs*1000000,2))</f>
        <v>7.68</v>
      </c>
    </row>
    <row r="14" spans="1:8" x14ac:dyDescent="0.35">
      <c r="A14" t="s">
        <v>105</v>
      </c>
      <c r="B14">
        <f>SUMIFS('01_Data'!V:V, '01_Data'!G:G, A14)</f>
        <v>18</v>
      </c>
      <c r="C14">
        <f>SUMIFS('01_Data'!Y:Y, '01_Data'!G:G, A14)</f>
        <v>13</v>
      </c>
      <c r="D14">
        <f>SUMIFS('02_Exposure_Hours'!D:D, '02_Exposure_Hours'!B:B, A14)</f>
        <v>2538662</v>
      </c>
      <c r="E14">
        <f t="shared" si="2"/>
        <v>7.09</v>
      </c>
      <c r="F14">
        <f t="shared" si="3"/>
        <v>5.12</v>
      </c>
      <c r="H14">
        <f>_xlfn.LET(_xlpm.rec, SUMIFS('01_Data'!V:V,'01_Data'!G:G,A14), _xlpm.hrs, SUMIFS('02_Exposure_Hours'!D:D,'02_Exposure_Hours'!B:B,A14), ROUND(_xlpm.rec/_xlpm.hrs*1000000,2))</f>
        <v>7.09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0C987-C3CE-40BB-8081-A3CC7A7871F3}">
  <dimension ref="A3:G35"/>
  <sheetViews>
    <sheetView workbookViewId="0">
      <selection activeCell="B6" sqref="B6"/>
    </sheetView>
  </sheetViews>
  <sheetFormatPr defaultRowHeight="14.5" x14ac:dyDescent="0.35"/>
  <cols>
    <col min="1" max="1" width="14.453125" bestFit="1" customWidth="1"/>
    <col min="2" max="2" width="18.90625" bestFit="1" customWidth="1"/>
    <col min="3" max="3" width="24.6328125" bestFit="1" customWidth="1"/>
    <col min="4" max="4" width="14.1796875" bestFit="1" customWidth="1"/>
    <col min="5" max="5" width="19.1796875" bestFit="1" customWidth="1"/>
    <col min="6" max="6" width="16.1796875" bestFit="1" customWidth="1"/>
    <col min="7" max="7" width="10.7265625" bestFit="1" customWidth="1"/>
  </cols>
  <sheetData>
    <row r="3" spans="1:7" x14ac:dyDescent="0.35">
      <c r="A3" s="2" t="s">
        <v>614</v>
      </c>
      <c r="B3" s="2" t="s">
        <v>613</v>
      </c>
    </row>
    <row r="4" spans="1:7" x14ac:dyDescent="0.35">
      <c r="A4" s="2" t="s">
        <v>611</v>
      </c>
      <c r="B4" t="s">
        <v>78</v>
      </c>
      <c r="C4" t="s">
        <v>42</v>
      </c>
      <c r="D4" t="s">
        <v>105</v>
      </c>
      <c r="E4" t="s">
        <v>59</v>
      </c>
      <c r="F4" t="s">
        <v>27</v>
      </c>
      <c r="G4" t="s">
        <v>612</v>
      </c>
    </row>
    <row r="5" spans="1:7" x14ac:dyDescent="0.35">
      <c r="A5" s="3" t="s">
        <v>79</v>
      </c>
      <c r="B5" s="4">
        <v>16</v>
      </c>
      <c r="C5" s="4">
        <v>18</v>
      </c>
      <c r="D5" s="4">
        <v>20</v>
      </c>
      <c r="E5" s="4">
        <v>17</v>
      </c>
      <c r="F5" s="4">
        <v>14</v>
      </c>
      <c r="G5" s="4">
        <v>85</v>
      </c>
    </row>
    <row r="6" spans="1:7" x14ac:dyDescent="0.35">
      <c r="A6" s="3" t="s">
        <v>44</v>
      </c>
      <c r="B6" s="4">
        <v>17</v>
      </c>
      <c r="C6" s="4">
        <v>18</v>
      </c>
      <c r="D6" s="4">
        <v>15</v>
      </c>
      <c r="E6" s="4">
        <v>14</v>
      </c>
      <c r="F6" s="4">
        <v>12</v>
      </c>
      <c r="G6" s="4">
        <v>76</v>
      </c>
    </row>
    <row r="7" spans="1:7" x14ac:dyDescent="0.35">
      <c r="A7" s="3" t="s">
        <v>54</v>
      </c>
      <c r="B7" s="4">
        <v>13</v>
      </c>
      <c r="C7" s="4">
        <v>18</v>
      </c>
      <c r="D7" s="4">
        <v>8</v>
      </c>
      <c r="E7" s="4">
        <v>20</v>
      </c>
      <c r="F7" s="4">
        <v>16</v>
      </c>
      <c r="G7" s="4">
        <v>75</v>
      </c>
    </row>
    <row r="8" spans="1:7" x14ac:dyDescent="0.35">
      <c r="A8" s="3" t="s">
        <v>110</v>
      </c>
      <c r="B8" s="4">
        <v>8</v>
      </c>
      <c r="C8" s="4">
        <v>9</v>
      </c>
      <c r="D8" s="4">
        <v>13</v>
      </c>
      <c r="E8" s="4">
        <v>13</v>
      </c>
      <c r="F8" s="4">
        <v>14</v>
      </c>
      <c r="G8" s="4">
        <v>57</v>
      </c>
    </row>
    <row r="9" spans="1:7" x14ac:dyDescent="0.35">
      <c r="A9" s="3" t="s">
        <v>60</v>
      </c>
      <c r="B9" s="4">
        <v>15</v>
      </c>
      <c r="C9" s="4">
        <v>15</v>
      </c>
      <c r="D9" s="4">
        <v>5</v>
      </c>
      <c r="E9" s="4">
        <v>18</v>
      </c>
      <c r="F9" s="4">
        <v>12</v>
      </c>
      <c r="G9" s="4">
        <v>65</v>
      </c>
    </row>
    <row r="10" spans="1:7" x14ac:dyDescent="0.35">
      <c r="A10" s="3" t="s">
        <v>29</v>
      </c>
      <c r="B10" s="4">
        <v>17</v>
      </c>
      <c r="C10" s="4">
        <v>13</v>
      </c>
      <c r="D10" s="4">
        <v>9</v>
      </c>
      <c r="E10" s="4">
        <v>17</v>
      </c>
      <c r="F10" s="4">
        <v>18</v>
      </c>
      <c r="G10" s="4">
        <v>74</v>
      </c>
    </row>
    <row r="11" spans="1:7" x14ac:dyDescent="0.35">
      <c r="A11" s="3" t="s">
        <v>98</v>
      </c>
      <c r="B11" s="4">
        <v>16</v>
      </c>
      <c r="C11" s="4">
        <v>17</v>
      </c>
      <c r="D11" s="4">
        <v>8</v>
      </c>
      <c r="E11" s="4">
        <v>15</v>
      </c>
      <c r="F11" s="4">
        <v>12</v>
      </c>
      <c r="G11" s="4">
        <v>68</v>
      </c>
    </row>
    <row r="12" spans="1:7" x14ac:dyDescent="0.35">
      <c r="A12" s="3" t="s">
        <v>612</v>
      </c>
      <c r="B12" s="4">
        <v>102</v>
      </c>
      <c r="C12" s="4">
        <v>108</v>
      </c>
      <c r="D12" s="4">
        <v>78</v>
      </c>
      <c r="E12" s="4">
        <v>114</v>
      </c>
      <c r="F12" s="4">
        <v>98</v>
      </c>
      <c r="G12" s="4">
        <v>500</v>
      </c>
    </row>
    <row r="16" spans="1:7" x14ac:dyDescent="0.35">
      <c r="A16" s="2" t="s">
        <v>611</v>
      </c>
      <c r="B16" t="s">
        <v>614</v>
      </c>
      <c r="C16" t="s">
        <v>615</v>
      </c>
    </row>
    <row r="17" spans="1:4" x14ac:dyDescent="0.35">
      <c r="A17" s="3" t="s">
        <v>80</v>
      </c>
      <c r="B17" s="4">
        <v>55</v>
      </c>
      <c r="C17" s="4">
        <v>131</v>
      </c>
    </row>
    <row r="18" spans="1:4" x14ac:dyDescent="0.35">
      <c r="A18" s="3" t="s">
        <v>32</v>
      </c>
      <c r="B18" s="4">
        <v>52</v>
      </c>
      <c r="C18" s="4">
        <v>128</v>
      </c>
    </row>
    <row r="19" spans="1:4" x14ac:dyDescent="0.35">
      <c r="A19" s="3" t="s">
        <v>74</v>
      </c>
      <c r="B19" s="4">
        <v>65</v>
      </c>
      <c r="C19" s="4">
        <v>120</v>
      </c>
    </row>
    <row r="20" spans="1:4" x14ac:dyDescent="0.35">
      <c r="A20" s="3" t="s">
        <v>83</v>
      </c>
      <c r="B20" s="4">
        <v>44</v>
      </c>
      <c r="C20" s="4">
        <v>79</v>
      </c>
    </row>
    <row r="21" spans="1:4" x14ac:dyDescent="0.35">
      <c r="A21" s="3" t="s">
        <v>45</v>
      </c>
      <c r="B21" s="4">
        <v>40</v>
      </c>
      <c r="C21" s="4">
        <v>64</v>
      </c>
    </row>
    <row r="22" spans="1:4" x14ac:dyDescent="0.35">
      <c r="A22" s="3" t="s">
        <v>55</v>
      </c>
      <c r="B22" s="4">
        <v>46</v>
      </c>
      <c r="C22" s="4">
        <v>64</v>
      </c>
    </row>
    <row r="23" spans="1:4" x14ac:dyDescent="0.35">
      <c r="A23" s="3" t="s">
        <v>103</v>
      </c>
      <c r="B23" s="4">
        <v>60</v>
      </c>
      <c r="C23" s="4">
        <v>58</v>
      </c>
    </row>
    <row r="24" spans="1:4" x14ac:dyDescent="0.35">
      <c r="A24" s="3" t="s">
        <v>100</v>
      </c>
      <c r="B24" s="4">
        <v>49</v>
      </c>
      <c r="C24" s="4">
        <v>48</v>
      </c>
    </row>
    <row r="25" spans="1:4" x14ac:dyDescent="0.35">
      <c r="A25" s="3" t="s">
        <v>95</v>
      </c>
      <c r="B25" s="4">
        <v>37</v>
      </c>
      <c r="C25" s="4">
        <v>34</v>
      </c>
    </row>
    <row r="26" spans="1:4" x14ac:dyDescent="0.35">
      <c r="A26" s="3" t="s">
        <v>93</v>
      </c>
      <c r="B26" s="4">
        <v>52</v>
      </c>
      <c r="C26" s="4">
        <v>26</v>
      </c>
    </row>
    <row r="27" spans="1:4" x14ac:dyDescent="0.35">
      <c r="A27" s="3" t="s">
        <v>612</v>
      </c>
      <c r="B27" s="4">
        <v>500</v>
      </c>
      <c r="C27" s="4">
        <v>752</v>
      </c>
    </row>
    <row r="31" spans="1:4" x14ac:dyDescent="0.35">
      <c r="A31" s="2" t="s">
        <v>611</v>
      </c>
      <c r="B31" t="s">
        <v>614</v>
      </c>
      <c r="C31" t="s">
        <v>616</v>
      </c>
      <c r="D31" t="s">
        <v>617</v>
      </c>
    </row>
    <row r="32" spans="1:4" x14ac:dyDescent="0.35">
      <c r="A32" s="3" t="s">
        <v>91</v>
      </c>
      <c r="B32" s="4">
        <v>109</v>
      </c>
      <c r="C32" s="4">
        <v>23</v>
      </c>
      <c r="D32" s="4">
        <v>12</v>
      </c>
    </row>
    <row r="33" spans="1:4" x14ac:dyDescent="0.35">
      <c r="A33" s="3" t="s">
        <v>35</v>
      </c>
      <c r="B33" s="4">
        <v>246</v>
      </c>
      <c r="C33" s="4">
        <v>60</v>
      </c>
      <c r="D33" s="4">
        <v>28</v>
      </c>
    </row>
    <row r="34" spans="1:4" x14ac:dyDescent="0.35">
      <c r="A34" s="3" t="s">
        <v>47</v>
      </c>
      <c r="B34" s="4">
        <v>145</v>
      </c>
      <c r="C34" s="4">
        <v>39</v>
      </c>
      <c r="D34" s="4">
        <v>17</v>
      </c>
    </row>
    <row r="35" spans="1:4" x14ac:dyDescent="0.35">
      <c r="A35" s="3" t="s">
        <v>612</v>
      </c>
      <c r="B35" s="4">
        <v>500</v>
      </c>
      <c r="C35" s="4">
        <v>122</v>
      </c>
      <c r="D35" s="4">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763DB-F887-44F4-A203-E9DBCBF4281B}">
  <dimension ref="A1:O4"/>
  <sheetViews>
    <sheetView showGridLines="0" tabSelected="1" workbookViewId="0">
      <selection activeCell="T14" sqref="T14"/>
    </sheetView>
  </sheetViews>
  <sheetFormatPr defaultRowHeight="14.5" x14ac:dyDescent="0.35"/>
  <sheetData>
    <row r="1" spans="1:15" ht="21" x14ac:dyDescent="0.5">
      <c r="A1" s="6" t="s">
        <v>618</v>
      </c>
      <c r="B1" s="6"/>
      <c r="C1" s="6"/>
      <c r="D1" s="6"/>
      <c r="E1" s="6"/>
      <c r="F1" s="6"/>
      <c r="G1" s="6"/>
      <c r="H1" s="6"/>
      <c r="I1" s="6"/>
      <c r="J1" s="6"/>
      <c r="K1" s="6"/>
      <c r="L1" s="6"/>
      <c r="M1" s="6"/>
      <c r="N1" s="6"/>
      <c r="O1" s="6"/>
    </row>
    <row r="3" spans="1:15" ht="18.5" x14ac:dyDescent="0.45">
      <c r="A3" s="7"/>
      <c r="B3" s="8" t="s">
        <v>619</v>
      </c>
      <c r="C3" s="8"/>
      <c r="D3" s="7"/>
      <c r="E3" s="8" t="s">
        <v>620</v>
      </c>
      <c r="F3" s="8"/>
      <c r="G3" s="7"/>
      <c r="H3" s="8" t="s">
        <v>621</v>
      </c>
      <c r="I3" s="8"/>
      <c r="J3" s="8"/>
      <c r="L3" s="8" t="s">
        <v>622</v>
      </c>
      <c r="M3" s="8"/>
    </row>
    <row r="4" spans="1:15" x14ac:dyDescent="0.35">
      <c r="B4" s="9">
        <f>'03_KPI_Summary'!E6</f>
        <v>6.73</v>
      </c>
      <c r="C4" s="9"/>
      <c r="D4" s="5"/>
      <c r="E4" s="9">
        <f>'03_KPI_Summary'!F6</f>
        <v>1.68</v>
      </c>
      <c r="F4" s="9"/>
      <c r="G4" s="5"/>
      <c r="H4" s="9">
        <f>'03_KPI_Summary'!B6</f>
        <v>20</v>
      </c>
      <c r="I4" s="9"/>
      <c r="J4" s="9"/>
      <c r="L4" s="9">
        <f>'03_KPI_Summary'!C6</f>
        <v>5</v>
      </c>
      <c r="M4" s="9"/>
    </row>
  </sheetData>
  <mergeCells count="9">
    <mergeCell ref="E3:F3"/>
    <mergeCell ref="E4:F4"/>
    <mergeCell ref="B3:C3"/>
    <mergeCell ref="B4:C4"/>
    <mergeCell ref="L3:M3"/>
    <mergeCell ref="L4:M4"/>
    <mergeCell ref="A1:O1"/>
    <mergeCell ref="H4:J4"/>
    <mergeCell ref="H3:J3"/>
  </mergeCells>
  <conditionalFormatting sqref="B4">
    <cfRule type="cellIs" dxfId="6" priority="5" operator="greaterThan">
      <formula>10</formula>
    </cfRule>
    <cfRule type="cellIs" dxfId="5" priority="6" operator="between">
      <formula>8</formula>
      <formula>10</formula>
    </cfRule>
    <cfRule type="cellIs" dxfId="4" priority="7" operator="lessThan">
      <formula>8</formula>
    </cfRule>
  </conditionalFormatting>
  <conditionalFormatting sqref="E4">
    <cfRule type="cellIs" dxfId="3" priority="1" operator="greaterThan">
      <formula>5</formula>
    </cfRule>
    <cfRule type="cellIs" dxfId="2" priority="2" operator="between">
      <formula>3</formula>
      <formula>5</formula>
    </cfRule>
    <cfRule type="cellIs" dxfId="1" priority="3" operator="between">
      <formula>3</formula>
      <formula>5</formula>
    </cfRule>
    <cfRule type="cellIs" dxfId="0" priority="4" operator="lessThan">
      <formula>3</formula>
    </cfRule>
  </conditionalFormatting>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D013A3-D8BC-4D78-8599-1FC2E96DEE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01_Data</vt:lpstr>
      <vt:lpstr>02_Exposure_Hours</vt:lpstr>
      <vt:lpstr>03_KPI_Summary</vt:lpstr>
      <vt:lpstr>04_Pivots</vt:lpstr>
      <vt:lpstr>05_Dashboard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tbl_Incidents</dc:title>
  <dc:creator>Joshua Yates</dc:creator>
  <cp:lastModifiedBy>Joshua Yates</cp:lastModifiedBy>
  <dcterms:created xsi:type="dcterms:W3CDTF">2026-07-03T22:03:54Z</dcterms:created>
  <dcterms:modified xsi:type="dcterms:W3CDTF">2026-07-04T06:40:36Z</dcterms:modified>
</cp:coreProperties>
</file>